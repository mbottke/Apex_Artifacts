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6440" tabRatio="824" firstSheet="5" activeTab="14" autoFilterDateGrouping="1"/>
  </bookViews>
  <sheets>
    <sheet name="2026" sheetId="1" state="visible" r:id="rId1"/>
    <sheet name="July" sheetId="2" state="visible" r:id="rId2"/>
    <sheet name="August" sheetId="3" state="visible" r:id="rId3"/>
    <sheet name="September" sheetId="4" state="visible" r:id="rId4"/>
    <sheet name="October" sheetId="5" state="visible" r:id="rId5"/>
    <sheet name="November" sheetId="6" state="visible" r:id="rId6"/>
    <sheet name="December" sheetId="7" state="visible" r:id="rId7"/>
    <sheet name="2027" sheetId="8" state="visible" r:id="rId8"/>
    <sheet name="January" sheetId="9" state="visible" r:id="rId9"/>
    <sheet name="February" sheetId="10" state="visible" r:id="rId10"/>
    <sheet name="March" sheetId="11" state="visible" r:id="rId11"/>
    <sheet name="April" sheetId="12" state="visible" r:id="rId12"/>
    <sheet name="May" sheetId="13" state="visible" r:id="rId13"/>
    <sheet name="June" sheetId="14" state="visible" r:id="rId14"/>
    <sheet name="Rules" sheetId="15" state="visible" r:id="rId15"/>
    <sheet name="YTD" sheetId="16" state="visible" r:id="rId16"/>
  </sheets>
  <definedNames>
    <definedName name="start_day">'2026'!$P$10</definedName>
    <definedName name="_xlnm.Print_Area" localSheetId="1">'July'!$C$2:$AD$18</definedName>
    <definedName name="_xlnm.Print_Area" localSheetId="2">'August'!$C$2:$AD$18</definedName>
    <definedName name="_xlnm.Print_Area" localSheetId="3">'September'!$C$2:$AD$18</definedName>
    <definedName name="_xlnm.Print_Area" localSheetId="4">'October'!$C$2:$AD$18</definedName>
    <definedName name="_xlnm.Print_Area" localSheetId="5">'November'!$C$2:$AD$18</definedName>
    <definedName name="_xlnm.Print_Area" localSheetId="6">'December'!$C$2:$AD$18</definedName>
    <definedName name="_xlnm.Print_Area" localSheetId="8">'January'!$C$2:$AD$18</definedName>
    <definedName name="_xlnm.Print_Area" localSheetId="9">'February'!$C$2:$AD$18</definedName>
    <definedName name="_xlnm.Print_Area" localSheetId="10">'March'!$C$2:$AD$18</definedName>
    <definedName name="_xlnm.Print_Area" localSheetId="11">'April'!$C$2:$AD$18</definedName>
    <definedName name="_xlnm.Print_Area" localSheetId="12">'May'!$C$2:$AD$18</definedName>
    <definedName name="_xlnm.Print_Area" localSheetId="13">'June'!$C$2:$AD$18</definedName>
  </definedNames>
  <calcPr calcId="191028" fullCalcOnLoad="1" forceFullCalc="1"/>
</workbook>
</file>

<file path=xl/styles.xml><?xml version="1.0" encoding="utf-8"?>
<styleSheet xmlns="http://schemas.openxmlformats.org/spreadsheetml/2006/main">
  <numFmts count="4">
    <numFmt numFmtId="164" formatCode="mmmm\ yyyy"/>
    <numFmt numFmtId="165" formatCode="dddd"/>
    <numFmt numFmtId="166" formatCode="d"/>
    <numFmt numFmtId="167" formatCode="mmmm\ \'yy"/>
  </numFmts>
  <fonts count="50">
    <font>
      <name val="Arial"/>
      <family val="2"/>
      <sz val="10"/>
    </font>
    <font>
      <name val="Seaford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family val="2"/>
      <sz val="10"/>
    </font>
    <font>
      <name val="Seaford"/>
      <sz val="10"/>
      <scheme val="minor"/>
    </font>
    <font>
      <name val="Seaford"/>
      <sz val="12"/>
      <scheme val="minor"/>
    </font>
    <font>
      <name val="Seaford"/>
      <b val="1"/>
      <color theme="0"/>
      <sz val="36"/>
      <scheme val="minor"/>
    </font>
    <font>
      <name val="Seaford"/>
      <b val="1"/>
      <color theme="8"/>
      <sz val="48"/>
      <scheme val="minor"/>
    </font>
    <font>
      <name val="Seaford"/>
      <color theme="2" tint="-0.8999908444471572"/>
      <sz val="12"/>
      <scheme val="minor"/>
    </font>
    <font>
      <name val="Seaford"/>
      <b val="1"/>
      <sz val="12"/>
      <scheme val="minor"/>
    </font>
    <font>
      <name val="Seaford"/>
      <b val="1"/>
      <color theme="4" tint="-0.249977111117893"/>
      <sz val="12"/>
      <scheme val="minor"/>
    </font>
    <font>
      <name val="Seaford"/>
      <b val="1"/>
      <color theme="2" tint="-0.8999908444471572"/>
      <sz val="12"/>
      <scheme val="minor"/>
    </font>
    <font>
      <name val="Seaford"/>
      <color theme="2" tint="-0.8999908444471572"/>
      <sz val="10"/>
      <scheme val="minor"/>
    </font>
    <font>
      <name val="Seaford"/>
      <b val="1"/>
      <color theme="1" tint="0.3499862666707358"/>
      <sz val="12"/>
      <scheme val="minor"/>
    </font>
    <font>
      <name val="Seaford"/>
      <b val="1"/>
      <color theme="0"/>
      <sz val="12"/>
      <scheme val="minor"/>
    </font>
    <font>
      <name val="Seaford"/>
      <sz val="8"/>
      <scheme val="minor"/>
    </font>
    <font>
      <name val="Seaford"/>
      <sz val="7"/>
      <scheme val="minor"/>
    </font>
    <font>
      <name val="Seaford"/>
      <b val="1"/>
      <color theme="4" tint="-0.249977111117893"/>
      <sz val="48"/>
      <scheme val="minor"/>
    </font>
    <font>
      <name val="Seaford"/>
      <sz val="14"/>
      <scheme val="minor"/>
    </font>
    <font>
      <name val="Seaford"/>
      <b val="1"/>
      <color theme="1" tint="0.3499862666707358"/>
      <sz val="14"/>
      <scheme val="minor"/>
    </font>
    <font>
      <name val="Seaford"/>
      <color theme="1" tint="0.3499862666707358"/>
      <sz val="11"/>
      <u val="single"/>
      <scheme val="minor"/>
    </font>
    <font>
      <name val="Seaford"/>
      <color theme="1" tint="0.3499862666707358"/>
      <sz val="10"/>
      <scheme val="minor"/>
    </font>
    <font>
      <name val="Seaford"/>
      <b val="1"/>
      <color theme="8"/>
      <sz val="24"/>
      <scheme val="minor"/>
    </font>
    <font>
      <name val="Seaford"/>
      <b val="1"/>
      <color theme="0"/>
      <sz val="10"/>
      <scheme val="minor"/>
    </font>
    <font>
      <name val="Seaford"/>
      <b val="1"/>
      <sz val="8"/>
      <scheme val="minor"/>
    </font>
    <font>
      <name val="Seaford"/>
      <b val="1"/>
      <color theme="0" tint="-0.499984740745262"/>
      <sz val="10"/>
      <scheme val="minor"/>
    </font>
    <font>
      <name val="Seaford"/>
      <color theme="8"/>
      <sz val="8"/>
      <scheme val="minor"/>
    </font>
    <font>
      <name val="Seaford"/>
      <b val="1"/>
      <color theme="0"/>
      <sz val="36"/>
      <scheme val="major"/>
    </font>
    <font>
      <name val="Seaford"/>
      <b val="1"/>
      <color theme="0"/>
      <sz val="24"/>
      <scheme val="major"/>
    </font>
    <font>
      <name val="Seaford"/>
      <b val="1"/>
      <color theme="8"/>
      <sz val="48"/>
      <scheme val="major"/>
    </font>
    <font>
      <name val="Arial"/>
      <family val="2"/>
      <b val="1"/>
      <sz val="10"/>
    </font>
    <font>
      <name val="Calibri"/>
      <family val="2"/>
      <sz val="11"/>
    </font>
    <font>
      <name val="Seaford"/>
      <b val="1"/>
      <color rgb="FFFFFFFF"/>
      <sz val="12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Seaford"/>
      <sz val="8"/>
    </font>
    <font>
      <name val="Seaford"/>
      <sz val="10"/>
    </font>
    <font>
      <name val="Seaford"/>
      <b val="1"/>
      <sz val="10"/>
    </font>
    <font>
      <name val="Calibri"/>
      <family val="2"/>
      <b val="1"/>
      <sz val="8"/>
    </font>
    <font>
      <name val="Calibri"/>
      <family val="2"/>
      <b val="1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</font>
    <font>
      <name val="Seaford"/>
      <i val="1"/>
      <color rgb="FF161616"/>
      <sz val="12"/>
      <scheme val="minor"/>
    </font>
    <font>
      <name val="Seaford"/>
      <color rgb="FF161616"/>
      <sz val="12"/>
      <scheme val="minor"/>
    </font>
    <font>
      <name val="Seaford"/>
      <color rgb="FF000000"/>
      <sz val="12"/>
      <scheme val="minor"/>
    </font>
    <font>
      <name val="Seaford"/>
      <color rgb="FF000000"/>
      <sz val="12"/>
    </font>
    <font>
      <name val="Seaford"/>
      <color theme="1"/>
      <sz val="12"/>
    </font>
    <font>
      <name val="Seaford"/>
      <color theme="1"/>
      <sz val="12"/>
      <scheme val="minor"/>
    </font>
    <font>
      <name val="Seaford"/>
      <color rgb="FFFF0000"/>
      <sz val="12"/>
      <scheme val="minor"/>
    </font>
    <font>
      <name val="Seaford"/>
      <color rgb="FF161616"/>
      <sz val="12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3" fillId="0" borderId="0"/>
    <xf numFmtId="0" fontId="2" fillId="0" borderId="0" applyAlignment="1" applyProtection="1">
      <alignment vertical="top"/>
      <protection locked="0" hidden="0"/>
    </xf>
    <xf numFmtId="43" fontId="3" fillId="0" borderId="0"/>
    <xf numFmtId="0" fontId="1" fillId="0" borderId="0"/>
  </cellStyleXfs>
  <cellXfs count="243">
    <xf numFmtId="0" fontId="0" fillId="0" borderId="0" pivotButton="0" quotePrefix="0" xfId="0"/>
    <xf numFmtId="0" fontId="4" fillId="3" borderId="0" pivotButton="0" quotePrefix="0" xfId="0"/>
    <xf numFmtId="0" fontId="5" fillId="3" borderId="0" applyAlignment="1" pivotButton="0" quotePrefix="0" xfId="0">
      <alignment horizontal="right"/>
    </xf>
    <xf numFmtId="0" fontId="4" fillId="0" borderId="0" pivotButton="0" quotePrefix="0" xfId="0"/>
    <xf numFmtId="0" fontId="4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3" borderId="0" pivotButton="0" quotePrefix="0" xfId="0"/>
    <xf numFmtId="0" fontId="8" fillId="3" borderId="0" applyAlignment="1" pivotButton="0" quotePrefix="0" xfId="0">
      <alignment horizontal="left"/>
    </xf>
    <xf numFmtId="0" fontId="9" fillId="3" borderId="0" applyAlignment="1" pivotButton="0" quotePrefix="0" xfId="0">
      <alignment horizontal="center"/>
    </xf>
    <xf numFmtId="0" fontId="4" fillId="2" borderId="0" pivotButton="0" quotePrefix="0" xfId="0"/>
    <xf numFmtId="0" fontId="5" fillId="2" borderId="0" applyAlignment="1" pivotButton="0" quotePrefix="0" xfId="0">
      <alignment horizontal="right"/>
    </xf>
    <xf numFmtId="0" fontId="10" fillId="2" borderId="0" applyAlignment="1" pivotButton="0" quotePrefix="0" xfId="0">
      <alignment horizontal="left" vertical="center"/>
    </xf>
    <xf numFmtId="0" fontId="8" fillId="2" borderId="5" applyAlignment="1" pivotButton="0" quotePrefix="0" xfId="0">
      <alignment vertical="center"/>
    </xf>
    <xf numFmtId="0" fontId="8" fillId="2" borderId="5" applyAlignment="1" pivotButton="0" quotePrefix="0" xfId="0">
      <alignment horizontal="left" vertical="center"/>
    </xf>
    <xf numFmtId="0" fontId="12" fillId="2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8" fillId="2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0" fontId="15" fillId="3" borderId="0" pivotButton="0" quotePrefix="0" xfId="0"/>
    <xf numFmtId="0" fontId="15" fillId="0" borderId="0" pivotButton="0" quotePrefix="0" xfId="0"/>
    <xf numFmtId="0" fontId="16" fillId="3" borderId="0" pivotButton="0" quotePrefix="0" xfId="0"/>
    <xf numFmtId="0" fontId="16" fillId="0" borderId="0" pivotButton="0" quotePrefix="0" xfId="0"/>
    <xf numFmtId="164" fontId="7" fillId="0" borderId="0" pivotButton="0" quotePrefix="0" xfId="0"/>
    <xf numFmtId="164" fontId="17" fillId="0" borderId="0" applyAlignment="1" pivotButton="0" quotePrefix="0" xfId="0">
      <alignment horizontal="left" vertical="top"/>
    </xf>
    <xf numFmtId="0" fontId="18" fillId="3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5" fontId="14" fillId="4" borderId="0" applyAlignment="1" pivotButton="0" quotePrefix="0" xfId="0">
      <alignment horizontal="left" vertical="center" shrinkToFit="1" indent="1"/>
    </xf>
    <xf numFmtId="0" fontId="19" fillId="3" borderId="0" applyAlignment="1" pivotButton="0" quotePrefix="0" xfId="2">
      <alignment horizontal="left"/>
    </xf>
    <xf numFmtId="0" fontId="20" fillId="3" borderId="0" applyAlignment="1" pivotButton="0" quotePrefix="0" xfId="1">
      <alignment horizontal="left"/>
    </xf>
    <xf numFmtId="0" fontId="15" fillId="3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8" fillId="2" borderId="6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left" vertical="center" indent="1"/>
    </xf>
    <xf numFmtId="166" fontId="8" fillId="2" borderId="1" applyAlignment="1" pivotButton="0" quotePrefix="0" xfId="0">
      <alignment horizontal="left" vertical="center" shrinkToFit="1" indent="1"/>
    </xf>
    <xf numFmtId="0" fontId="8" fillId="2" borderId="8" applyAlignment="1" pivotButton="0" quotePrefix="0" xfId="0">
      <alignment horizontal="left" vertical="center" indent="1"/>
    </xf>
    <xf numFmtId="0" fontId="8" fillId="2" borderId="9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left" vertical="center" indent="1"/>
    </xf>
    <xf numFmtId="166" fontId="8" fillId="2" borderId="3" applyAlignment="1" pivotButton="0" quotePrefix="0" xfId="0">
      <alignment horizontal="left" vertical="center" shrinkToFit="1" indent="1"/>
    </xf>
    <xf numFmtId="166" fontId="8" fillId="2" borderId="0" applyAlignment="1" pivotButton="0" quotePrefix="0" xfId="0">
      <alignment horizontal="left" vertical="center" shrinkToFit="1" indent="1"/>
    </xf>
    <xf numFmtId="0" fontId="15" fillId="2" borderId="0" applyAlignment="1" pivotButton="0" quotePrefix="0" xfId="0">
      <alignment horizontal="center" vertical="center"/>
    </xf>
    <xf numFmtId="0" fontId="15" fillId="2" borderId="0" applyAlignment="1" pivotButton="0" quotePrefix="0" xfId="1">
      <alignment horizontal="left" vertical="center"/>
    </xf>
    <xf numFmtId="0" fontId="15" fillId="2" borderId="0" applyAlignment="1" pivotButton="0" quotePrefix="0" xfId="1">
      <alignment vertical="center"/>
    </xf>
    <xf numFmtId="0" fontId="21" fillId="2" borderId="0" applyAlignment="1" pivotButton="0" quotePrefix="0" xfId="1">
      <alignment horizontal="right" vertical="center"/>
    </xf>
    <xf numFmtId="0" fontId="15" fillId="3" borderId="0" applyAlignment="1" pivotButton="0" quotePrefix="0" xfId="0">
      <alignment horizontal="center" vertical="center"/>
    </xf>
    <xf numFmtId="0" fontId="15" fillId="3" borderId="0" applyAlignment="1" pivotButton="0" quotePrefix="0" xfId="1">
      <alignment horizontal="left" vertical="center"/>
    </xf>
    <xf numFmtId="0" fontId="15" fillId="3" borderId="0" applyAlignment="1" pivotButton="0" quotePrefix="0" xfId="1">
      <alignment vertical="center"/>
    </xf>
    <xf numFmtId="0" fontId="21" fillId="3" borderId="0" applyAlignment="1" pivotButton="0" quotePrefix="0" xfId="1">
      <alignment horizontal="right" vertical="center"/>
    </xf>
    <xf numFmtId="0" fontId="2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 shrinkToFit="1"/>
    </xf>
    <xf numFmtId="0" fontId="25" fillId="0" borderId="0" applyAlignment="1" pivotButton="0" quotePrefix="0" xfId="0">
      <alignment horizontal="left"/>
    </xf>
    <xf numFmtId="166" fontId="26" fillId="0" borderId="0" applyAlignment="1" pivotButton="0" quotePrefix="0" xfId="0">
      <alignment horizontal="left" vertical="center" shrinkToFit="1"/>
    </xf>
    <xf numFmtId="166" fontId="15" fillId="0" borderId="0" applyAlignment="1" pivotButton="0" quotePrefix="0" xfId="0">
      <alignment horizontal="left" vertical="center" shrinkToFit="1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166" fontId="8" fillId="2" borderId="3" applyAlignment="1" pivotButton="0" quotePrefix="0" xfId="0">
      <alignment horizontal="left" vertical="center" shrinkToFit="1" indent="2"/>
    </xf>
    <xf numFmtId="0" fontId="8" fillId="2" borderId="4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2" borderId="4" applyAlignment="1" pivotButton="0" quotePrefix="0" xfId="0">
      <alignment vertical="center"/>
    </xf>
    <xf numFmtId="0" fontId="8" fillId="2" borderId="8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27" fillId="4" borderId="0" applyAlignment="1" pivotButton="0" quotePrefix="0" xfId="0">
      <alignment vertical="center"/>
    </xf>
    <xf numFmtId="166" fontId="8" fillId="2" borderId="3" applyAlignment="1" pivotButton="0" quotePrefix="0" xfId="0">
      <alignment horizontal="left" shrinkToFit="1" indent="1"/>
    </xf>
    <xf numFmtId="0" fontId="8" fillId="2" borderId="3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 indent="1"/>
    </xf>
    <xf numFmtId="0" fontId="4" fillId="0" borderId="2" applyAlignment="1" pivotButton="0" quotePrefix="0" xfId="0">
      <alignment horizontal="left" indent="1"/>
    </xf>
    <xf numFmtId="0" fontId="30" fillId="0" borderId="10" applyAlignment="1" pivotButton="0" quotePrefix="0" xfId="0">
      <alignment wrapText="1"/>
    </xf>
    <xf numFmtId="0" fontId="0" fillId="0" borderId="10" pivotButton="0" quotePrefix="0" xfId="0"/>
    <xf numFmtId="0" fontId="30" fillId="0" borderId="10" pivotButton="0" quotePrefix="0" xfId="0"/>
    <xf numFmtId="0" fontId="0" fillId="0" borderId="14" pivotButton="0" quotePrefix="0" xfId="0"/>
    <xf numFmtId="0" fontId="30" fillId="0" borderId="14" pivotButton="0" quotePrefix="0" xfId="0"/>
    <xf numFmtId="0" fontId="35" fillId="0" borderId="16" applyAlignment="1" pivotButton="0" quotePrefix="0" xfId="0">
      <alignment horizontal="center" vertical="center"/>
    </xf>
    <xf numFmtId="0" fontId="36" fillId="7" borderId="16" applyAlignment="1" pivotButton="0" quotePrefix="0" xfId="0">
      <alignment horizontal="center" vertical="center"/>
    </xf>
    <xf numFmtId="0" fontId="36" fillId="7" borderId="17" applyAlignment="1" pivotButton="0" quotePrefix="0" xfId="0">
      <alignment horizontal="center" vertical="center"/>
    </xf>
    <xf numFmtId="0" fontId="33" fillId="0" borderId="16" applyAlignment="1" pivotButton="0" quotePrefix="0" xfId="0">
      <alignment horizontal="center" vertical="center"/>
    </xf>
    <xf numFmtId="0" fontId="37" fillId="0" borderId="16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horizontal="center" vertical="center"/>
    </xf>
    <xf numFmtId="0" fontId="34" fillId="0" borderId="12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39" fillId="0" borderId="16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34" fillId="0" borderId="16" applyAlignment="1" pivotButton="0" quotePrefix="0" xfId="0">
      <alignment horizontal="center" vertical="center"/>
    </xf>
    <xf numFmtId="0" fontId="40" fillId="0" borderId="16" applyAlignment="1" pivotButton="0" quotePrefix="0" xfId="0">
      <alignment horizontal="center" vertical="center"/>
    </xf>
    <xf numFmtId="0" fontId="31" fillId="0" borderId="16" pivotButton="0" quotePrefix="0" xfId="0"/>
    <xf numFmtId="0" fontId="31" fillId="0" borderId="16" applyAlignment="1" pivotButton="0" quotePrefix="0" xfId="0">
      <alignment horizontal="center"/>
    </xf>
    <xf numFmtId="0" fontId="0" fillId="8" borderId="16" pivotButton="0" quotePrefix="0" xfId="0"/>
    <xf numFmtId="0" fontId="0" fillId="9" borderId="16" pivotButton="0" quotePrefix="0" xfId="0"/>
    <xf numFmtId="0" fontId="0" fillId="10" borderId="16" pivotButton="0" quotePrefix="0" xfId="0"/>
    <xf numFmtId="0" fontId="0" fillId="11" borderId="16" pivotButton="0" quotePrefix="0" xfId="0"/>
    <xf numFmtId="0" fontId="0" fillId="9" borderId="16" applyAlignment="1" pivotButton="0" quotePrefix="0" xfId="0">
      <alignment horizontal="center"/>
    </xf>
    <xf numFmtId="0" fontId="0" fillId="8" borderId="16" applyAlignment="1" pivotButton="0" quotePrefix="0" xfId="0">
      <alignment horizontal="center"/>
    </xf>
    <xf numFmtId="0" fontId="0" fillId="10" borderId="16" applyAlignment="1" pivotButton="0" quotePrefix="0" xfId="0">
      <alignment horizontal="center"/>
    </xf>
    <xf numFmtId="0" fontId="0" fillId="11" borderId="16" applyAlignment="1" pivotButton="0" quotePrefix="0" xfId="0">
      <alignment horizontal="center"/>
    </xf>
    <xf numFmtId="0" fontId="32" fillId="7" borderId="16" applyAlignment="1" pivotButton="0" quotePrefix="0" xfId="0">
      <alignment horizontal="center" vertical="center"/>
    </xf>
    <xf numFmtId="0" fontId="41" fillId="0" borderId="16" applyAlignment="1" pivotButton="0" quotePrefix="0" xfId="0">
      <alignment horizontal="left" vertical="center"/>
    </xf>
    <xf numFmtId="0" fontId="8" fillId="2" borderId="5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indent="1"/>
    </xf>
    <xf numFmtId="0" fontId="8" fillId="12" borderId="3" applyAlignment="1" pivotButton="0" quotePrefix="0" xfId="0">
      <alignment horizontal="left" vertical="center" indent="1"/>
    </xf>
    <xf numFmtId="166" fontId="8" fillId="12" borderId="3" applyAlignment="1" pivotButton="0" quotePrefix="0" xfId="0">
      <alignment horizontal="left" vertical="center" shrinkToFit="1" indent="1"/>
    </xf>
    <xf numFmtId="0" fontId="8" fillId="12" borderId="0" applyAlignment="1" pivotButton="0" quotePrefix="0" xfId="0">
      <alignment horizontal="left" vertical="center" indent="1"/>
    </xf>
    <xf numFmtId="0" fontId="8" fillId="12" borderId="8" applyAlignment="1" pivotButton="0" quotePrefix="0" xfId="0">
      <alignment horizontal="left" vertical="center" indent="1"/>
    </xf>
    <xf numFmtId="0" fontId="8" fillId="12" borderId="2" applyAlignment="1" pivotButton="0" quotePrefix="0" xfId="0">
      <alignment horizontal="left" vertical="center" indent="1"/>
    </xf>
    <xf numFmtId="0" fontId="8" fillId="12" borderId="9" applyAlignment="1" pivotButton="0" quotePrefix="0" xfId="0">
      <alignment horizontal="left" vertical="center" indent="1"/>
    </xf>
    <xf numFmtId="0" fontId="8" fillId="2" borderId="5" applyAlignment="1" pivotButton="0" quotePrefix="0" xfId="0">
      <alignment vertical="center" wrapText="1"/>
    </xf>
    <xf numFmtId="0" fontId="31" fillId="0" borderId="11" applyAlignment="1" pivotButton="0" quotePrefix="0" xfId="0">
      <alignment horizontal="left"/>
    </xf>
    <xf numFmtId="0" fontId="31" fillId="0" borderId="12" applyAlignment="1" pivotButton="0" quotePrefix="0" xfId="0">
      <alignment horizontal="left"/>
    </xf>
    <xf numFmtId="0" fontId="28" fillId="4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indent="1"/>
    </xf>
    <xf numFmtId="0" fontId="4" fillId="0" borderId="5" applyAlignment="1" pivotButton="0" quotePrefix="0" xfId="0">
      <alignment horizontal="left" indent="1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8" fillId="2" borderId="4" applyAlignment="1" pivotButton="0" quotePrefix="0" xfId="0">
      <alignment horizontal="left" vertical="center" indent="1"/>
    </xf>
    <xf numFmtId="0" fontId="8" fillId="2" borderId="5" applyAlignment="1" pivotButton="0" quotePrefix="0" xfId="0">
      <alignment horizontal="left" vertical="center" indent="1"/>
    </xf>
    <xf numFmtId="0" fontId="8" fillId="2" borderId="6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top"/>
    </xf>
    <xf numFmtId="167" fontId="23" fillId="4" borderId="0" applyAlignment="1" pivotButton="0" quotePrefix="0" xfId="0">
      <alignment horizontal="center" vertical="center"/>
    </xf>
    <xf numFmtId="0" fontId="8" fillId="2" borderId="4" applyAlignment="1" pivotButton="0" quotePrefix="0" xfId="0">
      <alignment horizontal="left" vertical="center" wrapText="1" indent="1"/>
    </xf>
    <xf numFmtId="166" fontId="8" fillId="2" borderId="1" applyAlignment="1" pivotButton="0" quotePrefix="0" xfId="0">
      <alignment horizontal="left" shrinkToFit="1" indent="1"/>
    </xf>
    <xf numFmtId="166" fontId="8" fillId="2" borderId="3" applyAlignment="1" pivotButton="0" quotePrefix="0" xfId="0">
      <alignment horizontal="left" shrinkToFit="1" indent="1"/>
    </xf>
    <xf numFmtId="166" fontId="8" fillId="2" borderId="1" applyAlignment="1" pivotButton="0" quotePrefix="0" xfId="0">
      <alignment horizontal="left" vertical="center" shrinkToFit="1" indent="1"/>
    </xf>
    <xf numFmtId="166" fontId="8" fillId="2" borderId="3" applyAlignment="1" pivotButton="0" quotePrefix="0" xfId="0">
      <alignment horizontal="left" vertical="center" shrinkToFit="1" indent="1"/>
    </xf>
    <xf numFmtId="166" fontId="8" fillId="2" borderId="0" applyAlignment="1" pivotButton="0" quotePrefix="0" xfId="0">
      <alignment horizontal="left" vertical="center" shrinkToFit="1" indent="1"/>
    </xf>
    <xf numFmtId="0" fontId="8" fillId="2" borderId="1" applyAlignment="1" pivotButton="0" quotePrefix="0" xfId="0">
      <alignment horizontal="left" vertical="center" indent="1"/>
    </xf>
    <xf numFmtId="0" fontId="8" fillId="2" borderId="3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 indent="1"/>
    </xf>
    <xf numFmtId="166" fontId="8" fillId="2" borderId="0" applyAlignment="1" pivotButton="0" quotePrefix="0" xfId="0">
      <alignment horizontal="left" shrinkToFit="1" indent="1"/>
    </xf>
    <xf numFmtId="0" fontId="8" fillId="2" borderId="4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0" fontId="33" fillId="0" borderId="16" applyAlignment="1" pivotButton="0" quotePrefix="0" xfId="0">
      <alignment horizontal="center" vertical="center"/>
    </xf>
    <xf numFmtId="0" fontId="32" fillId="7" borderId="20" applyAlignment="1" pivotButton="0" quotePrefix="0" xfId="0">
      <alignment horizontal="center" vertical="center"/>
    </xf>
    <xf numFmtId="0" fontId="32" fillId="7" borderId="21" applyAlignment="1" pivotButton="0" quotePrefix="0" xfId="0">
      <alignment horizontal="center" vertical="center"/>
    </xf>
    <xf numFmtId="0" fontId="32" fillId="7" borderId="18" applyAlignment="1" pivotButton="0" quotePrefix="0" xfId="0">
      <alignment horizontal="center" vertical="center"/>
    </xf>
    <xf numFmtId="0" fontId="31" fillId="0" borderId="16" applyAlignment="1" pivotButton="0" quotePrefix="0" xfId="0">
      <alignment horizontal="center"/>
    </xf>
    <xf numFmtId="0" fontId="32" fillId="6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164" fontId="29" fillId="0" borderId="0" applyAlignment="1" pivotButton="0" quotePrefix="0" xfId="0">
      <alignment horizontal="left"/>
    </xf>
    <xf numFmtId="165" fontId="14" fillId="4" borderId="0" applyAlignment="1" pivotButton="0" quotePrefix="0" xfId="0">
      <alignment horizontal="left" vertical="center" shrinkToFit="1" indent="1"/>
    </xf>
    <xf numFmtId="166" fontId="8" fillId="12" borderId="1" applyAlignment="1" pivotButton="0" quotePrefix="0" xfId="0">
      <alignment horizontal="left" shrinkToFit="1" indent="1"/>
    </xf>
    <xf numFmtId="166" fontId="8" fillId="12" borderId="0" applyAlignment="1" pivotButton="0" quotePrefix="0" xfId="0">
      <alignment horizontal="left" shrinkToFit="1" indent="1"/>
    </xf>
    <xf numFmtId="166" fontId="8" fillId="12" borderId="3" applyAlignment="1" pivotButton="0" quotePrefix="0" xfId="0">
      <alignment horizontal="left" shrinkToFit="1" indent="1"/>
    </xf>
    <xf numFmtId="0" fontId="8" fillId="2" borderId="6" applyAlignment="1" pivotButton="0" quotePrefix="0" xfId="0">
      <alignment horizontal="left" vertical="center" wrapText="1" indent="1"/>
    </xf>
    <xf numFmtId="0" fontId="44" fillId="2" borderId="4" applyAlignment="1" pivotButton="0" quotePrefix="0" xfId="0">
      <alignment horizontal="left" vertical="center" wrapText="1" indent="1"/>
    </xf>
    <xf numFmtId="0" fontId="44" fillId="2" borderId="6" applyAlignment="1" pivotButton="0" quotePrefix="0" xfId="0">
      <alignment horizontal="left" vertical="center" indent="1"/>
    </xf>
    <xf numFmtId="0" fontId="44" fillId="0" borderId="4" applyAlignment="1" pivotButton="0" quotePrefix="0" xfId="0">
      <alignment horizontal="left" vertical="center" wrapText="1" indent="1"/>
    </xf>
    <xf numFmtId="0" fontId="48" fillId="0" borderId="6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 indent="1"/>
    </xf>
    <xf numFmtId="0" fontId="8" fillId="12" borderId="3" applyAlignment="1" pivotButton="0" quotePrefix="0" xfId="0">
      <alignment horizontal="left" vertical="center" indent="1"/>
    </xf>
    <xf numFmtId="166" fontId="8" fillId="12" borderId="1" applyAlignment="1" pivotButton="0" quotePrefix="0" xfId="0">
      <alignment horizontal="left" vertical="center" shrinkToFit="1" indent="1"/>
    </xf>
    <xf numFmtId="166" fontId="8" fillId="12" borderId="3" applyAlignment="1" pivotButton="0" quotePrefix="0" xfId="0">
      <alignment horizontal="left" vertical="center" shrinkToFit="1" indent="1"/>
    </xf>
    <xf numFmtId="0" fontId="45" fillId="2" borderId="4" applyAlignment="1" pivotButton="0" quotePrefix="0" xfId="0">
      <alignment horizontal="left" vertical="center" wrapText="1" indent="1"/>
    </xf>
    <xf numFmtId="0" fontId="43" fillId="2" borderId="4" applyAlignment="1" pivotButton="0" quotePrefix="0" xfId="0">
      <alignment horizontal="left" vertical="center" wrapText="1" indent="1"/>
    </xf>
    <xf numFmtId="0" fontId="42" fillId="2" borderId="4" applyAlignment="1" pivotButton="0" quotePrefix="0" xfId="0">
      <alignment horizontal="left" vertical="center" wrapText="1" indent="1"/>
    </xf>
    <xf numFmtId="0" fontId="46" fillId="2" borderId="4" applyAlignment="1" pivotButton="0" quotePrefix="0" xfId="0">
      <alignment horizontal="left" vertical="center" wrapText="1" indent="1"/>
    </xf>
    <xf numFmtId="0" fontId="47" fillId="2" borderId="6" applyAlignment="1" pivotButton="0" quotePrefix="0" xfId="0">
      <alignment horizontal="left" vertical="center" indent="1"/>
    </xf>
    <xf numFmtId="166" fontId="8" fillId="12" borderId="0" applyAlignment="1" pivotButton="0" quotePrefix="0" xfId="0">
      <alignment horizontal="left" vertical="center" shrinkToFit="1" indent="1"/>
    </xf>
    <xf numFmtId="0" fontId="4" fillId="0" borderId="0" applyAlignment="1" pivotButton="0" quotePrefix="0" xfId="0">
      <alignment horizontal="left" indent="1"/>
    </xf>
    <xf numFmtId="0" fontId="48" fillId="2" borderId="6" applyAlignment="1" pivotButton="0" quotePrefix="0" xfId="0">
      <alignment horizontal="left" vertical="center" indent="1"/>
    </xf>
    <xf numFmtId="0" fontId="8" fillId="2" borderId="4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2" borderId="5" applyAlignment="1" pivotButton="0" quotePrefix="0" xfId="0">
      <alignment horizontal="left" vertical="center"/>
    </xf>
    <xf numFmtId="0" fontId="8" fillId="2" borderId="6" applyAlignment="1" pivotButton="0" quotePrefix="0" xfId="0">
      <alignment horizontal="left" vertical="center"/>
    </xf>
    <xf numFmtId="0" fontId="49" fillId="2" borderId="4" applyAlignment="1" pivotButton="0" quotePrefix="0" xfId="0">
      <alignment horizontal="left" vertical="center" wrapText="1" indent="1"/>
    </xf>
    <xf numFmtId="0" fontId="0" fillId="0" borderId="11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30" fillId="5" borderId="11" applyAlignment="1" pivotButton="0" quotePrefix="0" xfId="0">
      <alignment horizontal="center"/>
    </xf>
    <xf numFmtId="0" fontId="30" fillId="5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30" fillId="0" borderId="11" applyAlignment="1" pivotButton="0" quotePrefix="0" xfId="0">
      <alignment horizontal="center"/>
    </xf>
    <xf numFmtId="0" fontId="30" fillId="0" borderId="12" applyAlignment="1" pivotButton="0" quotePrefix="0" xfId="0">
      <alignment horizontal="center"/>
    </xf>
    <xf numFmtId="0" fontId="31" fillId="0" borderId="11" applyAlignment="1" pivotButton="0" quotePrefix="0" xfId="0">
      <alignment horizontal="left"/>
    </xf>
    <xf numFmtId="0" fontId="31" fillId="0" borderId="12" applyAlignment="1" pivotButton="0" quotePrefix="0" xfId="0">
      <alignment horizontal="left"/>
    </xf>
    <xf numFmtId="0" fontId="32" fillId="7" borderId="19" applyAlignment="1" pivotButton="0" quotePrefix="0" xfId="0">
      <alignment horizontal="center" vertical="center"/>
    </xf>
    <xf numFmtId="0" fontId="30" fillId="0" borderId="0" pivotButton="0" quotePrefix="0" xfId="0"/>
    <xf numFmtId="164" fontId="29" fillId="0" borderId="0" applyAlignment="1" pivotButton="0" quotePrefix="0" xfId="0">
      <alignment horizontal="left"/>
    </xf>
    <xf numFmtId="164" fontId="7" fillId="0" borderId="0" pivotButton="0" quotePrefix="0" xfId="0"/>
    <xf numFmtId="164" fontId="17" fillId="0" borderId="0" applyAlignment="1" pivotButton="0" quotePrefix="0" xfId="0">
      <alignment horizontal="left" vertical="top"/>
    </xf>
    <xf numFmtId="165" fontId="14" fillId="4" borderId="0" applyAlignment="1" pivotButton="0" quotePrefix="0" xfId="0">
      <alignment horizontal="left" vertical="center" shrinkToFit="1" indent="1"/>
    </xf>
    <xf numFmtId="166" fontId="8" fillId="2" borderId="27" applyAlignment="1" pivotButton="0" quotePrefix="0" xfId="0">
      <alignment horizontal="left" shrinkToFit="1" indent="1"/>
    </xf>
    <xf numFmtId="0" fontId="0" fillId="0" borderId="3" pivotButton="0" quotePrefix="0" xfId="0"/>
    <xf numFmtId="166" fontId="8" fillId="2" borderId="1" applyAlignment="1" pivotButton="0" quotePrefix="0" xfId="0">
      <alignment horizontal="left" shrinkToFit="1" indent="1"/>
    </xf>
    <xf numFmtId="166" fontId="8" fillId="2" borderId="3" applyAlignment="1" pivotButton="0" quotePrefix="0" xfId="0">
      <alignment horizontal="left" shrinkToFit="1" indent="1"/>
    </xf>
    <xf numFmtId="166" fontId="8" fillId="12" borderId="27" applyAlignment="1" pivotButton="0" quotePrefix="0" xfId="0">
      <alignment horizontal="left" shrinkToFit="1" indent="1"/>
    </xf>
    <xf numFmtId="0" fontId="8" fillId="2" borderId="26" applyAlignment="1" pivotButton="0" quotePrefix="0" xfId="0">
      <alignment horizontal="left" vertical="center" indent="1"/>
    </xf>
    <xf numFmtId="0" fontId="0" fillId="0" borderId="6" pivotButton="0" quotePrefix="0" xfId="0"/>
    <xf numFmtId="0" fontId="8" fillId="2" borderId="26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0" fillId="0" borderId="17" pivotButton="0" quotePrefix="0" xfId="0"/>
    <xf numFmtId="0" fontId="8" fillId="2" borderId="27" applyAlignment="1" pivotButton="0" quotePrefix="0" xfId="0">
      <alignment horizontal="left" vertical="center" indent="1"/>
    </xf>
    <xf numFmtId="0" fontId="0" fillId="0" borderId="1" pivotButton="0" quotePrefix="0" xfId="0"/>
    <xf numFmtId="166" fontId="8" fillId="2" borderId="27" applyAlignment="1" pivotButton="0" quotePrefix="0" xfId="0">
      <alignment horizontal="left" vertical="center" shrinkToFit="1" indent="1"/>
    </xf>
    <xf numFmtId="166" fontId="8" fillId="2" borderId="1" applyAlignment="1" pivotButton="0" quotePrefix="0" xfId="0">
      <alignment horizontal="left" vertical="center" shrinkToFit="1" indent="1"/>
    </xf>
    <xf numFmtId="166" fontId="8" fillId="2" borderId="3" applyAlignment="1" pivotButton="0" quotePrefix="0" xfId="0">
      <alignment horizontal="left" vertical="center" shrinkToFit="1" indent="1"/>
    </xf>
    <xf numFmtId="0" fontId="8" fillId="2" borderId="29" applyAlignment="1" pivotButton="0" quotePrefix="0" xfId="0">
      <alignment horizontal="center" vertical="center"/>
    </xf>
    <xf numFmtId="0" fontId="0" fillId="0" borderId="9" pivotButton="0" quotePrefix="0" xfId="0"/>
    <xf numFmtId="166" fontId="8" fillId="2" borderId="0" applyAlignment="1" pivotButton="0" quotePrefix="0" xfId="0">
      <alignment horizontal="left" vertical="center" shrinkToFit="1" indent="1"/>
    </xf>
    <xf numFmtId="166" fontId="8" fillId="2" borderId="3" applyAlignment="1" pivotButton="0" quotePrefix="0" xfId="0">
      <alignment horizontal="left" vertical="center" shrinkToFit="1" indent="2"/>
    </xf>
    <xf numFmtId="167" fontId="23" fillId="4" borderId="0" applyAlignment="1" pivotButton="0" quotePrefix="0" xfId="0">
      <alignment horizontal="center" vertical="center"/>
    </xf>
    <xf numFmtId="166" fontId="26" fillId="0" borderId="0" applyAlignment="1" pivotButton="0" quotePrefix="0" xfId="0">
      <alignment horizontal="left" vertical="center" shrinkToFit="1"/>
    </xf>
    <xf numFmtId="166" fontId="15" fillId="0" borderId="0" applyAlignment="1" pivotButton="0" quotePrefix="0" xfId="0">
      <alignment horizontal="left" vertical="center" shrinkToFit="1"/>
    </xf>
    <xf numFmtId="0" fontId="4" fillId="0" borderId="28" applyAlignment="1" pivotButton="0" quotePrefix="0" xfId="0">
      <alignment horizontal="left" indent="1"/>
    </xf>
    <xf numFmtId="0" fontId="0" fillId="0" borderId="2" pivotButton="0" quotePrefix="0" xfId="0"/>
    <xf numFmtId="0" fontId="0" fillId="0" borderId="21" pivotButton="0" quotePrefix="0" xfId="0"/>
    <xf numFmtId="0" fontId="0" fillId="0" borderId="18" pivotButton="0" quotePrefix="0" xfId="0"/>
    <xf numFmtId="0" fontId="44" fillId="2" borderId="26" applyAlignment="1" pivotButton="0" quotePrefix="0" xfId="0">
      <alignment horizontal="left" vertical="center" wrapText="1" indent="1"/>
    </xf>
    <xf numFmtId="0" fontId="44" fillId="0" borderId="26" applyAlignment="1" pivotButton="0" quotePrefix="0" xfId="0">
      <alignment horizontal="left" vertical="center" wrapText="1" indent="1"/>
    </xf>
    <xf numFmtId="0" fontId="8" fillId="12" borderId="27" applyAlignment="1" pivotButton="0" quotePrefix="0" xfId="0">
      <alignment horizontal="left" vertical="center" indent="1"/>
    </xf>
    <xf numFmtId="166" fontId="8" fillId="12" borderId="27" applyAlignment="1" pivotButton="0" quotePrefix="0" xfId="0">
      <alignment horizontal="left" vertical="center" shrinkToFit="1" indent="1"/>
    </xf>
    <xf numFmtId="0" fontId="45" fillId="2" borderId="26" applyAlignment="1" pivotButton="0" quotePrefix="0" xfId="0">
      <alignment horizontal="left" vertical="center" wrapText="1" indent="1"/>
    </xf>
    <xf numFmtId="166" fontId="8" fillId="12" borderId="1" applyAlignment="1" pivotButton="0" quotePrefix="0" xfId="0">
      <alignment horizontal="left" vertical="center" shrinkToFit="1" indent="1"/>
    </xf>
    <xf numFmtId="166" fontId="8" fillId="12" borderId="3" applyAlignment="1" pivotButton="0" quotePrefix="0" xfId="0">
      <alignment horizontal="left" vertical="center" shrinkToFit="1" indent="1"/>
    </xf>
    <xf numFmtId="0" fontId="46" fillId="2" borderId="26" applyAlignment="1" pivotButton="0" quotePrefix="0" xfId="0">
      <alignment horizontal="left" vertical="center" wrapText="1" indent="1"/>
    </xf>
    <xf numFmtId="0" fontId="42" fillId="2" borderId="26" applyAlignment="1" pivotButton="0" quotePrefix="0" xfId="0">
      <alignment horizontal="left" vertical="center" wrapText="1" indent="1"/>
    </xf>
    <xf numFmtId="0" fontId="43" fillId="2" borderId="26" applyAlignment="1" pivotButton="0" quotePrefix="0" xfId="0">
      <alignment horizontal="left" vertical="center" wrapText="1" indent="1"/>
    </xf>
    <xf numFmtId="0" fontId="8" fillId="2" borderId="26" applyAlignment="1" pivotButton="0" quotePrefix="0" xfId="0">
      <alignment horizontal="center" vertical="center"/>
    </xf>
    <xf numFmtId="0" fontId="8" fillId="2" borderId="26" applyAlignment="1" pivotButton="0" quotePrefix="0" xfId="0">
      <alignment horizontal="left" vertical="center" wrapText="1"/>
    </xf>
    <xf numFmtId="0" fontId="49" fillId="2" borderId="26" applyAlignment="1" pivotButton="0" quotePrefix="0" xfId="0">
      <alignment horizontal="left" vertical="center" wrapText="1" indent="1"/>
    </xf>
    <xf numFmtId="0" fontId="30" fillId="5" borderId="10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0" fillId="0" borderId="10" applyAlignment="1" pivotButton="0" quotePrefix="0" xfId="0">
      <alignment horizontal="left"/>
    </xf>
    <xf numFmtId="0" fontId="30" fillId="0" borderId="10" applyAlignment="1" pivotButton="0" quotePrefix="0" xfId="0">
      <alignment horizontal="center"/>
    </xf>
    <xf numFmtId="0" fontId="31" fillId="0" borderId="10" applyAlignment="1" pivotButton="0" quotePrefix="0" xfId="0">
      <alignment horizontal="left"/>
    </xf>
    <xf numFmtId="0" fontId="0" fillId="0" borderId="15" pivotButton="0" quotePrefix="0" xfId="0"/>
    <xf numFmtId="0" fontId="0" fillId="0" borderId="19" pivotButton="0" quotePrefix="0" xfId="0"/>
  </cellXfs>
  <cellStyles count="4">
    <cellStyle name="Normal" xfId="0" builtinId="0"/>
    <cellStyle name="Hyperlink" xfId="1" builtinId="8"/>
    <cellStyle name="Comma" xfId="2" builtinId="3"/>
    <cellStyle name="Normal 2" xfId="3"/>
  </cellStyles>
  <dxfs count="48"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D7EA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23">
      <a:majorFont>
        <a:latin typeface="Seaford"/>
        <a:ea typeface=""/>
        <a:cs typeface=""/>
      </a:majorFont>
      <a:minorFont>
        <a:latin typeface="Seafor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5"/>
  <sheetViews>
    <sheetView showGridLines="0" workbookViewId="0">
      <selection activeCell="A1" sqref="A1"/>
    </sheetView>
  </sheetViews>
  <sheetFormatPr baseColWidth="8" defaultColWidth="8.7109375" defaultRowHeight="15.75"/>
  <cols>
    <col width="5.5703125" customWidth="1" style="3" min="1" max="4"/>
    <col width="10.5703125" customWidth="1" style="3" min="5" max="9"/>
    <col width="10.5703125" customWidth="1" style="28" min="10" max="11"/>
    <col width="5.5703125" customWidth="1" style="3" min="12" max="14"/>
    <col width="25.5703125" customWidth="1" style="3" min="15" max="15"/>
    <col width="10.5703125" customWidth="1" style="3" min="16" max="16"/>
    <col width="5.5703125" customWidth="1" style="3" min="17" max="18"/>
    <col width="8.7109375" customWidth="1" style="3" min="19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1" t="n"/>
      <c r="M1" s="1" t="n"/>
      <c r="N1" s="1" t="n"/>
      <c r="O1" s="1" t="n"/>
      <c r="P1" s="1" t="n"/>
      <c r="Q1" s="1" t="n"/>
      <c r="R1" s="1" t="n"/>
    </row>
    <row r="2" ht="75" customFormat="1" customHeight="1" s="7">
      <c r="A2" s="4" t="n"/>
      <c r="B2" s="5" t="n"/>
      <c r="C2" s="74" t="inlineStr">
        <is>
          <t>How to Use This Template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4" t="n"/>
    </row>
    <row r="3" ht="24.95" customHeight="1">
      <c r="A3" s="1" t="n"/>
      <c r="B3" s="1" t="n"/>
      <c r="C3" s="8" t="n"/>
      <c r="D3" s="8" t="n"/>
      <c r="E3" s="1" t="n"/>
      <c r="F3" s="1" t="n"/>
      <c r="G3" s="1" t="n"/>
      <c r="H3" s="1" t="n"/>
      <c r="I3" s="1" t="n"/>
      <c r="J3" s="9" t="n"/>
      <c r="K3" s="9" t="n"/>
      <c r="L3" s="10" t="n"/>
      <c r="M3" s="1" t="n"/>
      <c r="N3" s="1" t="n"/>
      <c r="O3" s="1" t="n"/>
      <c r="P3" s="1" t="n"/>
      <c r="Q3" s="1" t="n"/>
      <c r="R3" s="1" t="n"/>
    </row>
    <row r="4" ht="30" customHeight="1">
      <c r="A4" s="1" t="n"/>
      <c r="B4" s="11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1" t="n"/>
      <c r="M4" s="1" t="n"/>
      <c r="N4" s="121" t="inlineStr">
        <is>
          <t>Time Entry</t>
        </is>
      </c>
      <c r="R4" s="1" t="n"/>
    </row>
    <row r="5" ht="30" customHeight="1">
      <c r="A5" s="1" t="n"/>
      <c r="B5" s="11" t="n"/>
      <c r="C5" s="13" t="inlineStr">
        <is>
          <t>Step 1:</t>
        </is>
      </c>
      <c r="D5" s="13" t="n"/>
      <c r="E5" s="14" t="inlineStr">
        <is>
          <t xml:space="preserve"> Enter the Year </t>
        </is>
      </c>
      <c r="F5" s="14" t="n"/>
      <c r="G5" s="14" t="n"/>
      <c r="H5" s="14" t="n"/>
      <c r="I5" s="14" t="n"/>
      <c r="J5" s="14" t="n"/>
      <c r="K5" s="177" t="n"/>
      <c r="L5" s="16" t="n"/>
      <c r="M5" s="4" t="n"/>
      <c r="R5" s="1" t="n"/>
    </row>
    <row r="6" ht="30" customHeight="1">
      <c r="A6" s="1" t="n"/>
      <c r="B6" s="11" t="n"/>
      <c r="C6" s="17" t="n"/>
      <c r="D6" s="18" t="n"/>
      <c r="E6" s="19" t="n"/>
      <c r="F6" s="19" t="n"/>
      <c r="G6" s="19" t="n"/>
      <c r="H6" s="19" t="n"/>
      <c r="I6" s="19" t="n"/>
      <c r="J6" s="20" t="n"/>
      <c r="K6" s="20" t="n"/>
      <c r="L6" s="19" t="n"/>
      <c r="M6" s="4" t="n"/>
      <c r="R6" s="1" t="n"/>
    </row>
    <row r="7" ht="30" customHeight="1">
      <c r="A7" s="1" t="n"/>
      <c r="B7" s="11" t="n"/>
      <c r="C7" s="13" t="inlineStr">
        <is>
          <t xml:space="preserve">Step 2: </t>
        </is>
      </c>
      <c r="D7" s="13" t="n"/>
      <c r="E7" s="14" t="inlineStr">
        <is>
          <t>Choose the Start Day</t>
        </is>
      </c>
      <c r="F7" s="14" t="n"/>
      <c r="G7" s="14" t="n"/>
      <c r="H7" s="14" t="n"/>
      <c r="I7" s="14" t="n"/>
      <c r="J7" s="14" t="n"/>
      <c r="K7" s="177" t="n"/>
      <c r="L7" s="19" t="n"/>
      <c r="M7" s="1" t="n"/>
      <c r="N7" s="11" t="n"/>
      <c r="O7" s="11" t="n"/>
      <c r="P7" s="11" t="n"/>
      <c r="Q7" s="11" t="n"/>
      <c r="R7" s="1" t="n"/>
    </row>
    <row r="8" ht="30" customHeight="1">
      <c r="A8" s="1" t="n"/>
      <c r="B8" s="11" t="n"/>
      <c r="C8" s="17" t="n"/>
      <c r="D8" s="18" t="n"/>
      <c r="E8" s="19" t="n"/>
      <c r="F8" s="19" t="n"/>
      <c r="G8" s="19" t="n"/>
      <c r="H8" s="19" t="n"/>
      <c r="I8" s="19" t="n"/>
      <c r="J8" s="20" t="n"/>
      <c r="K8" s="20" t="n"/>
      <c r="L8" s="19" t="n"/>
      <c r="M8" s="4" t="n"/>
      <c r="N8" s="21" t="n"/>
      <c r="O8" s="22" t="inlineStr">
        <is>
          <t>Year</t>
        </is>
      </c>
      <c r="P8" s="23">
        <f>IF(MONTH(TODAY())=12,YEAR(TODAY())+1,YEAR(TODAY()))</f>
        <v/>
      </c>
      <c r="R8" s="1" t="n"/>
    </row>
    <row r="9" ht="30" customHeight="1">
      <c r="A9" s="1" t="n"/>
      <c r="B9" s="11" t="n"/>
      <c r="C9" s="13" t="inlineStr">
        <is>
          <t>Step 3:</t>
        </is>
      </c>
      <c r="D9" s="13" t="n"/>
      <c r="E9" s="14" t="inlineStr">
        <is>
          <t>Customize the Theme Colors / Fonts</t>
        </is>
      </c>
      <c r="F9" s="14" t="n"/>
      <c r="G9" s="14" t="n"/>
      <c r="H9" s="14" t="n"/>
      <c r="I9" s="14" t="n"/>
      <c r="J9" s="14" t="n"/>
      <c r="K9" s="177" t="n"/>
      <c r="L9" s="19" t="n"/>
      <c r="M9" s="4" t="n"/>
      <c r="N9" s="11" t="n"/>
      <c r="O9" s="11" t="n"/>
      <c r="P9" s="11" t="n"/>
      <c r="Q9" s="11" t="n"/>
      <c r="R9" s="1" t="n"/>
    </row>
    <row r="10" ht="30" customHeight="1">
      <c r="A10" s="1" t="n"/>
      <c r="B10" s="11" t="n"/>
      <c r="C10" s="24" t="n"/>
      <c r="D10" s="25" t="n"/>
      <c r="E10" s="14" t="inlineStr">
        <is>
          <t>Go to Page Layout &gt; Themes to choose different colors and fonts.</t>
        </is>
      </c>
      <c r="F10" s="14" t="n"/>
      <c r="G10" s="14" t="n"/>
      <c r="H10" s="14" t="n"/>
      <c r="I10" s="14" t="n"/>
      <c r="J10" s="14" t="n"/>
      <c r="K10" s="177" t="n"/>
      <c r="L10" s="19" t="n"/>
      <c r="M10" s="4" t="n"/>
      <c r="N10" s="11" t="n"/>
      <c r="O10" s="22" t="inlineStr">
        <is>
          <t>Start Day of Week</t>
        </is>
      </c>
      <c r="P10" s="23" t="n">
        <v>1</v>
      </c>
      <c r="Q10" s="18" t="n"/>
      <c r="R10" s="1" t="n"/>
    </row>
    <row r="11" ht="30" customHeight="1">
      <c r="A11" s="1" t="n"/>
      <c r="B11" s="11" t="n"/>
      <c r="C11" s="24" t="n"/>
      <c r="D11" s="25" t="n"/>
      <c r="E11" s="26" t="n"/>
      <c r="F11" s="26" t="n"/>
      <c r="G11" s="26" t="n"/>
      <c r="H11" s="26" t="n"/>
      <c r="I11" s="26" t="n"/>
      <c r="J11" s="20" t="n"/>
      <c r="K11" s="20" t="n"/>
      <c r="L11" s="19" t="n"/>
      <c r="M11" s="4" t="n"/>
      <c r="N11" s="18" t="n"/>
      <c r="O11" s="18" t="n"/>
      <c r="P11" s="18" t="n"/>
      <c r="Q11" s="18" t="n"/>
      <c r="R11" s="1" t="n"/>
    </row>
    <row r="12" ht="30" customHeight="1">
      <c r="A12" s="1" t="n"/>
      <c r="B12" s="11" t="n"/>
      <c r="C12" s="13" t="inlineStr">
        <is>
          <t>Step 4:</t>
        </is>
      </c>
      <c r="D12" s="13" t="n"/>
      <c r="E12" s="14" t="inlineStr">
        <is>
          <t>Print to Paper or PDF</t>
        </is>
      </c>
      <c r="F12" s="14" t="n"/>
      <c r="G12" s="14" t="n"/>
      <c r="H12" s="14" t="n"/>
      <c r="I12" s="14" t="n"/>
      <c r="J12" s="14" t="n"/>
      <c r="K12" s="177" t="n"/>
      <c r="L12" s="19" t="n"/>
      <c r="M12" s="4" t="n"/>
      <c r="N12" s="18" t="n"/>
      <c r="O12" s="18" t="n"/>
      <c r="P12" s="18" t="n"/>
      <c r="Q12" s="18" t="n"/>
      <c r="R12" s="1" t="n"/>
    </row>
    <row r="13" ht="30" customHeight="1">
      <c r="A13" s="1" t="n"/>
      <c r="B13" s="11" t="n"/>
      <c r="C13" s="25" t="n"/>
      <c r="D13" s="25" t="n"/>
      <c r="E13" s="14" t="inlineStr">
        <is>
          <t>Print the entire workbook, or print only the selected worksheets.</t>
        </is>
      </c>
      <c r="F13" s="14" t="n"/>
      <c r="G13" s="14" t="n"/>
      <c r="H13" s="14" t="n"/>
      <c r="I13" s="14" t="n"/>
      <c r="J13" s="14" t="n"/>
      <c r="K13" s="177" t="n"/>
      <c r="L13" s="19" t="n"/>
      <c r="M13" s="4" t="n"/>
      <c r="N13" s="18" t="n"/>
      <c r="O13" s="18" t="n"/>
      <c r="P13" s="18" t="n"/>
      <c r="Q13" s="18" t="n"/>
      <c r="R13" s="1" t="n"/>
    </row>
    <row r="14" ht="30" customHeight="1">
      <c r="A14" s="1" t="n"/>
      <c r="B14" s="11" t="n"/>
      <c r="C14" s="18" t="n"/>
      <c r="D14" s="18" t="n"/>
      <c r="E14" s="18" t="n"/>
      <c r="F14" s="18" t="n"/>
      <c r="G14" s="18" t="n"/>
      <c r="H14" s="18" t="n"/>
      <c r="I14" s="18" t="n"/>
      <c r="J14" s="27" t="n"/>
      <c r="K14" s="27" t="n"/>
      <c r="L14" s="18" t="n"/>
      <c r="M14" s="4" t="n"/>
      <c r="N14" s="18" t="n"/>
      <c r="O14" s="18" t="n"/>
      <c r="P14" s="18" t="n"/>
      <c r="Q14" s="18" t="n"/>
      <c r="R14" s="1" t="n"/>
    </row>
    <row r="15" ht="24.9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2" t="n"/>
      <c r="K15" s="2" t="n"/>
      <c r="L15" s="1" t="n"/>
      <c r="M15" s="1" t="n"/>
      <c r="N15" s="1" t="n"/>
      <c r="O15" s="1" t="n"/>
      <c r="P15" s="1" t="n"/>
      <c r="Q15" s="1" t="n"/>
      <c r="R15" s="1" t="n"/>
    </row>
  </sheetData>
  <mergeCells count="1">
    <mergeCell ref="N4:Q6"/>
  </mergeCells>
  <pageMargins left="0.7" right="0.7" top="0.75" bottom="0.75" header="0.3" footer="0.3"/>
  <pageSetup orientation="landscape" scale="7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6" zoomScaleNormal="100" workbookViewId="0">
      <selection activeCell="C15" sqref="C15:D15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38"/>
    <col width="8.7109375" customWidth="1" style="3" min="39" max="39"/>
    <col width="8.7109375" customWidth="1" style="3" min="40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105" customFormat="1" customHeight="1" s="30">
      <c r="A2" s="29" t="n"/>
      <c r="C2" s="192">
        <f>DATE('2026'!P8,7,1)</f>
        <v/>
      </c>
      <c r="AF2" s="29" t="n"/>
      <c r="AG2" s="149" t="inlineStr">
        <is>
          <t>Away: 
CBP - 2 weeks: 
Peds Inpatient: Stanek
Med A: Mudondo/Strand
OB: Johnson</t>
        </is>
      </c>
      <c r="AK2" s="149" t="inlineStr">
        <is>
          <t>GYN/CM: Gaspar
NICU: Bower/Beutel
R3 - Ortho: Lux
R2 - Peds: 
Derm: 
Ultrasound: Bower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200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1" t="n"/>
      <c r="H6" s="202" t="n"/>
      <c r="I6" s="203" t="inlineStr">
        <is>
          <t>Oehm
Lux</t>
        </is>
      </c>
      <c r="J6" s="202" t="n"/>
      <c r="K6" s="203" t="inlineStr">
        <is>
          <t>Schutt
Mautino</t>
        </is>
      </c>
      <c r="L6" s="204" t="n"/>
      <c r="M6" s="204" t="n"/>
      <c r="N6" s="202" t="n"/>
      <c r="O6" s="203" t="inlineStr">
        <is>
          <t>Oehm
Mudondo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Schutt
Kendrick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/>
      </c>
      <c r="AI6" s="94">
        <f>COUNTIF($C$5:$AD$21,"*Oehm*")</f>
        <v/>
      </c>
      <c r="AJ6" s="94">
        <f>COUNTIF($C$5:$AD$21,"*Schutt*")</f>
        <v/>
      </c>
      <c r="AK6" s="94">
        <f>COUNTIF($C$5:$AD$21,"*Stanek*")</f>
        <v/>
      </c>
      <c r="AL6" s="94">
        <f>COUNTIF($C$5:$AD$21,"*Strand*")</f>
        <v/>
      </c>
      <c r="AM6" s="94">
        <f>COUNTIF($C$5:$AD$21,"*Wohlgemuth*")</f>
        <v/>
      </c>
      <c r="AN6" s="92">
        <f>SUM(AH6:AM6)</f>
        <v/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Strand
Patel</t>
        </is>
      </c>
      <c r="D9" s="202" t="n"/>
      <c r="E9" s="203" t="inlineStr">
        <is>
          <t>Wohlgemuth
Mautino</t>
        </is>
      </c>
      <c r="F9" s="202" t="n"/>
      <c r="G9" s="203" t="inlineStr">
        <is>
          <t>Wohlgemuth
Bottke</t>
        </is>
      </c>
      <c r="H9" s="202" t="n"/>
      <c r="I9" s="203" t="inlineStr">
        <is>
          <t>Wohlgemuth
Johnson</t>
        </is>
      </c>
      <c r="J9" s="202" t="n"/>
      <c r="K9" s="203" t="inlineStr">
        <is>
          <t>Wohlgemuth
Mautino</t>
        </is>
      </c>
      <c r="L9" s="204" t="n"/>
      <c r="M9" s="204" t="n"/>
      <c r="N9" s="202" t="n"/>
      <c r="O9" s="203" t="inlineStr">
        <is>
          <t>Wohlgemuth
Mudondo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Oehm
Beutel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/>
      </c>
      <c r="AI9" s="94">
        <f>COUNTIF($C$5:$AD$21,"*Bottke*")</f>
        <v/>
      </c>
      <c r="AJ9" s="94">
        <f>COUNTIF($C$5:$AD$21,"*Bower*")</f>
        <v/>
      </c>
      <c r="AK9" s="94">
        <f>COUNTIF($C$5:$AD$21,"*Gaspar*")</f>
        <v/>
      </c>
      <c r="AL9" s="94">
        <f>COUNTIF($C$5:$AD$21,"*Kendrick*")</f>
        <v/>
      </c>
      <c r="AM9" s="94">
        <f>COUNTIF($C$5:$AD$21,"*Patel*")</f>
        <v/>
      </c>
      <c r="AN9" s="94">
        <f>COUNTIF($C$5:$AD$21,"*Sublette*")</f>
        <v/>
      </c>
      <c r="AO9" s="92">
        <f>SUM(AH9:AN9)</f>
        <v/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Hard
Patel</t>
        </is>
      </c>
      <c r="D12" s="202" t="n"/>
      <c r="E12" s="203" t="inlineStr">
        <is>
          <t>Wohlgemuth
Mudondo</t>
        </is>
      </c>
      <c r="F12" s="202" t="n"/>
      <c r="G12" s="203" t="inlineStr">
        <is>
          <t>Wohlgemuth
Mautino</t>
        </is>
      </c>
      <c r="H12" s="202" t="n"/>
      <c r="I12" s="203" t="inlineStr">
        <is>
          <t>Wohlgemuth
Johnson</t>
        </is>
      </c>
      <c r="J12" s="202" t="n"/>
      <c r="K12" s="203" t="inlineStr">
        <is>
          <t>Wohlgemuth
Kendrick</t>
        </is>
      </c>
      <c r="L12" s="204" t="n"/>
      <c r="M12" s="204" t="n"/>
      <c r="N12" s="202" t="n"/>
      <c r="O12" s="203" t="inlineStr">
        <is>
          <t>Wohlgemuth
Mautino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Strand
Johnson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/>
      </c>
      <c r="AI12" s="94">
        <f>COUNTIF($C$5:$AD$21,"*Lux*")</f>
        <v/>
      </c>
      <c r="AJ12" s="94">
        <f>COUNTIF($C$5:$AD$21,"*Mautino*")</f>
        <v/>
      </c>
      <c r="AK12" s="94">
        <f>COUNTIF($C$5:$AD$21,"*Mudondo*")</f>
        <v/>
      </c>
      <c r="AL12" s="84">
        <f>SUM(AH12:AK12)</f>
        <v/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Oehm
Kendrick</t>
        </is>
      </c>
      <c r="D15" s="202" t="n"/>
      <c r="E15" s="203" t="inlineStr">
        <is>
          <t>Schutt
Johnson</t>
        </is>
      </c>
      <c r="F15" s="202" t="n"/>
      <c r="G15" s="203" t="inlineStr">
        <is>
          <t>Schutt
Mudondo</t>
        </is>
      </c>
      <c r="H15" s="202" t="n"/>
      <c r="I15" s="203" t="inlineStr">
        <is>
          <t>Schutt
Bottke</t>
        </is>
      </c>
      <c r="J15" s="202" t="n"/>
      <c r="K15" s="203" t="inlineStr">
        <is>
          <t>Schutt
Johnson</t>
        </is>
      </c>
      <c r="L15" s="204" t="n"/>
      <c r="M15" s="204" t="n"/>
      <c r="N15" s="202" t="n"/>
      <c r="O15" s="203" t="inlineStr">
        <is>
          <t>Schutt
Mautino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Strand
Patel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211" t="n"/>
      <c r="J16" s="212" t="n"/>
      <c r="K16" s="124" t="n"/>
      <c r="L16" s="161" t="n"/>
      <c r="M16" s="161" t="n"/>
      <c r="N16" s="125" t="n"/>
      <c r="O16" s="72" t="n"/>
      <c r="P16" s="73" t="n"/>
      <c r="Q16" s="73" t="n"/>
      <c r="R16" s="73" t="n"/>
      <c r="S16" s="73" t="n"/>
      <c r="T16" s="73" t="n"/>
      <c r="U16" s="73" t="n"/>
      <c r="V16" s="125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L17" s="213" t="n"/>
      <c r="M17" s="213" t="n"/>
      <c r="N17" s="214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3" t="inlineStr">
        <is>
          <t>Oehm
Kendrick</t>
        </is>
      </c>
      <c r="D18" s="202" t="n"/>
      <c r="E18" s="203" t="inlineStr">
        <is>
          <t>Schutt
Mautino</t>
        </is>
      </c>
      <c r="F18" s="202" t="n"/>
      <c r="G18" s="203" t="inlineStr">
        <is>
          <t>Schutt
Bower</t>
        </is>
      </c>
      <c r="H18" s="202" t="n"/>
      <c r="I18" s="203" t="inlineStr">
        <is>
          <t>Schutt
Lux</t>
        </is>
      </c>
      <c r="J18" s="202" t="n"/>
      <c r="K18" s="141" t="inlineStr">
        <is>
          <t>Schutt
Bower</t>
        </is>
      </c>
      <c r="L18" s="204" t="n"/>
      <c r="M18" s="110" t="n"/>
      <c r="N18" s="110" t="n"/>
      <c r="O18" s="203" t="inlineStr">
        <is>
          <t>Schutt
Johnson</t>
        </is>
      </c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211" t="n"/>
      <c r="J19" s="212" t="n"/>
      <c r="K19" s="124" t="n"/>
      <c r="L19" s="161" t="n"/>
      <c r="M19" s="161" t="n"/>
      <c r="N19" s="125" t="n"/>
      <c r="O19" s="72" t="n"/>
      <c r="P19" s="73" t="n"/>
      <c r="Q19" s="73" t="n"/>
      <c r="R19" s="73" t="n"/>
      <c r="S19" s="73" t="n"/>
      <c r="T19" s="73" t="n"/>
      <c r="U19" s="73" t="n"/>
      <c r="V19" s="125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L20" s="213" t="n"/>
      <c r="M20" s="213" t="n"/>
      <c r="N20" s="214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174" t="n"/>
      <c r="L21" s="175" t="n"/>
      <c r="M21" s="175" t="n"/>
      <c r="N21" s="176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>
      <c r="A32" s="1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O33" s="216" t="n"/>
      <c r="P33" s="217" t="n"/>
      <c r="Q33" s="217" t="n"/>
      <c r="R33" s="217" t="n"/>
      <c r="S33" s="217" t="n"/>
      <c r="T33" s="217" t="n"/>
      <c r="U33" s="216" t="n"/>
      <c r="V33" s="59" t="n"/>
      <c r="W33" s="59" t="n"/>
      <c r="X33" s="216" t="n"/>
      <c r="Y33" s="217" t="n"/>
      <c r="Z33" s="217" t="n"/>
      <c r="AA33" s="217" t="n"/>
      <c r="AB33" s="217" t="n"/>
      <c r="AC33" s="217" t="n"/>
      <c r="AD33" s="217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/>
      </c>
      <c r="F38" s="104">
        <f>COUNTIF($I$5:$N$21,"*Hard*")</f>
        <v/>
      </c>
      <c r="G38" s="104">
        <f>COUNTIF($O$5:$V$21,"*Hard*")</f>
        <v/>
      </c>
      <c r="H38" s="104">
        <f>COUNTIF($C$5:$D$21,"*Hard*")</f>
        <v/>
      </c>
      <c r="I38" s="104">
        <f>COUNTIF($W$5:$AD$21,"*Hard*")</f>
        <v/>
      </c>
    </row>
    <row r="39">
      <c r="D39" s="101" t="inlineStr">
        <is>
          <t>Oehm</t>
        </is>
      </c>
      <c r="E39" s="104">
        <f>COUNTIF($E$5:$H$21,"*Oehm*")</f>
        <v/>
      </c>
      <c r="F39" s="104">
        <f>COUNTIF($I$5:$N$21,"*Oehm*")</f>
        <v/>
      </c>
      <c r="G39" s="104">
        <f>COUNTIF($O$5:$V$21,"*Oehm*")</f>
        <v/>
      </c>
      <c r="H39" s="104">
        <f>COUNTIF($C$5:$D$21,"*Oehm*")</f>
        <v/>
      </c>
      <c r="I39" s="104">
        <f>COUNTIF($W$5:$AD$21,"*Oehm*")</f>
        <v/>
      </c>
    </row>
    <row r="40">
      <c r="D40" s="101" t="inlineStr">
        <is>
          <t>Schutt</t>
        </is>
      </c>
      <c r="E40" s="104">
        <f>COUNTIF($E$5:$H$21,"*Schutt*")</f>
        <v/>
      </c>
      <c r="F40" s="104">
        <f>COUNTIF($I$5:$N$21,"*Schutt*")</f>
        <v/>
      </c>
      <c r="G40" s="104">
        <f>COUNTIF($O$5:$V$21,"*Schutt*")</f>
        <v/>
      </c>
      <c r="H40" s="104">
        <f>COUNTIF($C$5:$D$21,"*Schutt*")</f>
        <v/>
      </c>
      <c r="I40" s="104">
        <f>COUNTIF($W$5:$AD$21,"*Schutt*")</f>
        <v/>
      </c>
    </row>
    <row r="41">
      <c r="D41" s="101" t="inlineStr">
        <is>
          <t>Stanek</t>
        </is>
      </c>
      <c r="E41" s="104">
        <f>COUNTIF($E$5:$H$21,"*Stanek*")</f>
        <v/>
      </c>
      <c r="F41" s="104">
        <f>COUNTIF($I$5:$N$21,"*Stanek*")</f>
        <v/>
      </c>
      <c r="G41" s="104">
        <f>COUNTIF($O$5:$V$21,"*Stanek*")</f>
        <v/>
      </c>
      <c r="H41" s="104">
        <f>COUNTIF($C$5:$D$21,"*Stanek*")</f>
        <v/>
      </c>
      <c r="I41" s="104">
        <f>COUNTIF($W$5:$AD$21,"*Stanek*")</f>
        <v/>
      </c>
    </row>
    <row r="42">
      <c r="D42" s="101" t="inlineStr">
        <is>
          <t>Strand</t>
        </is>
      </c>
      <c r="E42" s="104">
        <f>COUNTIF($E$5:$H$21,"*Strand*")</f>
        <v/>
      </c>
      <c r="F42" s="104">
        <f>COUNTIF($I$5:$N$21,"*Strand*")</f>
        <v/>
      </c>
      <c r="G42" s="104">
        <f>COUNTIF($O$5:$V$21,"*Strand*")</f>
        <v/>
      </c>
      <c r="H42" s="104">
        <f>COUNTIF($C$5:$D$21,"*Strand*")</f>
        <v/>
      </c>
      <c r="I42" s="104">
        <f>COUNTIF($W$5:$AD$21,"*Strand*")</f>
        <v/>
      </c>
    </row>
    <row r="43">
      <c r="D43" s="101" t="inlineStr">
        <is>
          <t>Wohlgemuth</t>
        </is>
      </c>
      <c r="E43" s="104">
        <f>COUNTIF($E$5:$H$21,"*Wohlgemuth*")</f>
        <v/>
      </c>
      <c r="F43" s="104">
        <f>COUNTIF($I$5:$N$21,"*Wohlgemuth*")</f>
        <v/>
      </c>
      <c r="G43" s="104">
        <f>COUNTIF($O$5:$V$21,"*Wohlgemuth*")</f>
        <v/>
      </c>
      <c r="H43" s="104">
        <f>COUNTIF($C$5:$D$21,"*Wohlgemuth*")</f>
        <v/>
      </c>
      <c r="I43" s="104">
        <f>COUNTIF($W$5:$AD$21,"*Wohlgemuth*")</f>
        <v/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/>
      </c>
      <c r="F45" s="106">
        <f>COUNTIF($I$5:$N$21,"*Beutel*")</f>
        <v/>
      </c>
      <c r="G45" s="106">
        <f>COUNTIF($O$5:$V$21,"*Beutel*")</f>
        <v/>
      </c>
      <c r="H45" s="106">
        <f>COUNTIF($C$5:$D$21,"*Beutel*")</f>
        <v/>
      </c>
      <c r="I45" s="106">
        <f>COUNTIF($W$5:$AD$21,"*Beutel*")</f>
        <v/>
      </c>
    </row>
    <row r="46">
      <c r="D46" s="102" t="inlineStr">
        <is>
          <t>Bottke</t>
        </is>
      </c>
      <c r="E46" s="106">
        <f>COUNTIF($E$5:$H$21,"*Bottke*")</f>
        <v/>
      </c>
      <c r="F46" s="106">
        <f>COUNTIF($I$5:$N$21,"*Bottke*")</f>
        <v/>
      </c>
      <c r="G46" s="106">
        <f>COUNTIF($O$5:$V$21,"*Bottke*")</f>
        <v/>
      </c>
      <c r="H46" s="106">
        <f>COUNTIF($C$5:$D$21,"*Bottke*")</f>
        <v/>
      </c>
      <c r="I46" s="106">
        <f>COUNTIF($W$5:$AD$21,"*Bottke*")</f>
        <v/>
      </c>
    </row>
    <row r="47">
      <c r="D47" s="102" t="inlineStr">
        <is>
          <t>Bower</t>
        </is>
      </c>
      <c r="E47" s="106">
        <f>COUNTIF($E$5:$H$21,"*Bower*")</f>
        <v/>
      </c>
      <c r="F47" s="106">
        <f>COUNTIF($I$5:$N$21,"*Bower*")</f>
        <v/>
      </c>
      <c r="G47" s="106">
        <f>COUNTIF($O$5:$V$21,"*Bower*")</f>
        <v/>
      </c>
      <c r="H47" s="106">
        <f>COUNTIF($C$5:$D$21,"*Bower*")</f>
        <v/>
      </c>
      <c r="I47" s="106">
        <f>COUNTIF($W$5:$AD$21,"*Bower*")</f>
        <v/>
      </c>
    </row>
    <row r="48">
      <c r="D48" s="102" t="inlineStr">
        <is>
          <t>Gaspar</t>
        </is>
      </c>
      <c r="E48" s="106">
        <f>COUNTIF($E$5:$H$21,"*Gaspar*")</f>
        <v/>
      </c>
      <c r="F48" s="106">
        <f>COUNTIF($I$5:$N$21,"*Gaspar*")</f>
        <v/>
      </c>
      <c r="G48" s="106">
        <f>COUNTIF($O$5:$V$21,"*Gaspar*")</f>
        <v/>
      </c>
      <c r="H48" s="106">
        <f>COUNTIF($C$5:$D$21,"*Gaspar*")</f>
        <v/>
      </c>
      <c r="I48" s="106">
        <f>COUNTIF($W$5:$AD$21,"*Gaspar*")</f>
        <v/>
      </c>
    </row>
    <row r="49">
      <c r="D49" s="102" t="inlineStr">
        <is>
          <t>Kendrick</t>
        </is>
      </c>
      <c r="E49" s="106">
        <f>COUNTIF($E$5:$H$21,"*Kendrick*")</f>
        <v/>
      </c>
      <c r="F49" s="106">
        <f>COUNTIF($I$5:$N$21,"*Kendrick*")</f>
        <v/>
      </c>
      <c r="G49" s="106">
        <f>COUNTIF($O$5:$V$21,"*Kendrick*")</f>
        <v/>
      </c>
      <c r="H49" s="106">
        <f>COUNTIF($C$5:$D$21,"*Kendrick*")</f>
        <v/>
      </c>
      <c r="I49" s="106">
        <f>COUNTIF($W$5:$AD$21,"*Kendrick*")</f>
        <v/>
      </c>
    </row>
    <row r="50">
      <c r="D50" s="102" t="inlineStr">
        <is>
          <t>Patel</t>
        </is>
      </c>
      <c r="E50" s="106">
        <f>COUNTIF($E$5:$H$21,"*Patel*")</f>
        <v/>
      </c>
      <c r="F50" s="106">
        <f>COUNTIF($I$5:$N$21,"*Patel*")</f>
        <v/>
      </c>
      <c r="G50" s="106">
        <f>COUNTIF($O$5:$V$21,"*Patel*")</f>
        <v/>
      </c>
      <c r="H50" s="106">
        <f>COUNTIF($C$5:$D$21,"*Patel*")</f>
        <v/>
      </c>
      <c r="I50" s="106">
        <f>COUNTIF($W$5:$AD$21,"*Patel*")</f>
        <v/>
      </c>
    </row>
    <row r="51">
      <c r="D51" s="102" t="inlineStr">
        <is>
          <t>Sublette</t>
        </is>
      </c>
      <c r="E51" s="106">
        <f>COUNTIF($E$5:$H$21,"*Sublette*")</f>
        <v/>
      </c>
      <c r="F51" s="106">
        <f>COUNTIF($I$5:$N$21,"*Sublette*")</f>
        <v/>
      </c>
      <c r="G51" s="106">
        <f>COUNTIF($O$5:$V$21,"*Sublette*")</f>
        <v/>
      </c>
      <c r="H51" s="106">
        <f>COUNTIF($C$5:$D$21,"*Sublette*")</f>
        <v/>
      </c>
      <c r="I51" s="106">
        <f>COUNTIF($W$5:$AD$21,"*Sublette*")</f>
        <v/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/>
      </c>
      <c r="F53" s="107">
        <f>COUNTIF($I$5:$N$21,"*Johnson*")</f>
        <v/>
      </c>
      <c r="G53" s="107">
        <f>COUNTIF($O$5:$V$21,"*Johnson*")</f>
        <v/>
      </c>
      <c r="H53" s="107">
        <f>COUNTIF($C$5:$D$21,"*Johnson*")</f>
        <v/>
      </c>
      <c r="I53" s="107">
        <f>COUNTIF($W$5:$AD$21,"*Johnson*")</f>
        <v/>
      </c>
    </row>
    <row r="54">
      <c r="D54" s="103" t="inlineStr">
        <is>
          <t>Lux</t>
        </is>
      </c>
      <c r="E54" s="107">
        <f>COUNTIF($E$5:$H$21,"*Lux*")</f>
        <v/>
      </c>
      <c r="F54" s="107">
        <f>COUNTIF($I$5:$N$21,"*Lux*")</f>
        <v/>
      </c>
      <c r="G54" s="107">
        <f>COUNTIF($O$5:$V$21,"*Lux*")</f>
        <v/>
      </c>
      <c r="H54" s="107">
        <f>COUNTIF($C$5:$D$21,"*Lux*")</f>
        <v/>
      </c>
      <c r="I54" s="107">
        <f>COUNTIF($W$5:$AD$21,"*Lux*")</f>
        <v/>
      </c>
    </row>
    <row r="55">
      <c r="D55" s="103" t="inlineStr">
        <is>
          <t>Mautino</t>
        </is>
      </c>
      <c r="E55" s="107">
        <f>COUNTIF($E$5:$H$21,"*Mautino*")</f>
        <v/>
      </c>
      <c r="F55" s="107">
        <f>COUNTIF($I$5:$N$21,"*Mautino*")</f>
        <v/>
      </c>
      <c r="G55" s="107">
        <f>COUNTIF($O$5:$V$21,"*Mautino*")</f>
        <v/>
      </c>
      <c r="H55" s="107">
        <f>COUNTIF($C$5:$D$21,"*Mautino*")</f>
        <v/>
      </c>
      <c r="I55" s="107">
        <f>COUNTIF($W$5:$AD$21,"*Mautino*")</f>
        <v/>
      </c>
    </row>
    <row r="56">
      <c r="D56" s="103" t="inlineStr">
        <is>
          <t>Mudondo</t>
        </is>
      </c>
      <c r="E56" s="107">
        <f>COUNTIF($E$5:$H$21,"*Mudondo*")</f>
        <v/>
      </c>
      <c r="F56" s="107">
        <f>COUNTIF($I$5:$N$21,"*Mudondo*")</f>
        <v/>
      </c>
      <c r="G56" s="107">
        <f>COUNTIF($O$5:$V$21,"*Mudondo*")</f>
        <v/>
      </c>
      <c r="H56" s="107">
        <f>COUNTIF($C$5:$D$21,"*Mudondo*")</f>
        <v/>
      </c>
      <c r="I56" s="107">
        <f>COUNTIF($W$5:$AD$21,"*Mudondo*")</f>
        <v/>
      </c>
    </row>
    <row r="57">
      <c r="E57" s="95">
        <f>SUM(E38:E56)</f>
        <v/>
      </c>
      <c r="F57" s="95">
        <f>SUM(F38:F56)</f>
        <v/>
      </c>
      <c r="G57" s="95">
        <f>SUM(G38:G56)</f>
        <v/>
      </c>
      <c r="H57" s="95">
        <f>SUM(H38:H56)</f>
        <v/>
      </c>
      <c r="I57" s="95">
        <f>SUM(I38:I56)</f>
        <v/>
      </c>
    </row>
  </sheetData>
  <mergeCells count="112">
    <mergeCell ref="G21:H21"/>
    <mergeCell ref="C6:D6"/>
    <mergeCell ref="C15:D15"/>
    <mergeCell ref="E8:F8"/>
    <mergeCell ref="O9:V9"/>
    <mergeCell ref="C27:K27"/>
    <mergeCell ref="I16:J16"/>
    <mergeCell ref="W20:AD20"/>
    <mergeCell ref="O5:V5"/>
    <mergeCell ref="G18:H18"/>
    <mergeCell ref="I18:J18"/>
    <mergeCell ref="W12:AD12"/>
    <mergeCell ref="C25:K26"/>
    <mergeCell ref="W9:AD9"/>
    <mergeCell ref="O12:V12"/>
    <mergeCell ref="AG5:AG6"/>
    <mergeCell ref="G20:H20"/>
    <mergeCell ref="I20:J20"/>
    <mergeCell ref="K5:M5"/>
    <mergeCell ref="O14:V14"/>
    <mergeCell ref="K11:M11"/>
    <mergeCell ref="E12:F12"/>
    <mergeCell ref="W4:AD4"/>
    <mergeCell ref="O7:V7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E4:F4"/>
    <mergeCell ref="K8:M8"/>
    <mergeCell ref="G7:H7"/>
    <mergeCell ref="C7:D8"/>
    <mergeCell ref="I7:J7"/>
    <mergeCell ref="K14:M14"/>
    <mergeCell ref="K15:N15"/>
    <mergeCell ref="K7:M7"/>
    <mergeCell ref="K4:M4"/>
    <mergeCell ref="AG8:AG9"/>
    <mergeCell ref="I8:J8"/>
    <mergeCell ref="I17:J17"/>
    <mergeCell ref="O17:V17"/>
    <mergeCell ref="O11:V11"/>
    <mergeCell ref="C10:D11"/>
    <mergeCell ref="C16:D17"/>
    <mergeCell ref="I19:J19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K18:L18"/>
    <mergeCell ref="G8:H8"/>
    <mergeCell ref="E17:F17"/>
    <mergeCell ref="W5:AD5"/>
    <mergeCell ref="G17:H17"/>
    <mergeCell ref="AG11:AG12"/>
    <mergeCell ref="X25:AD25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O21:V21"/>
    <mergeCell ref="G5:H5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C2:AD2" showDropDown="0" showInputMessage="1" showErrorMessage="1" allowBlank="1" prompt="To change the calendar year, go to cell P8 in About sheet"/>
    <dataValidation sqref="C5:D5" showDropDown="0" showInputMessage="1" showErrorMessage="1" allowBlank="1" prompt="Calendar days are automatically updated"/>
    <dataValidation sqref="C4:D4" showDropDown="0" showInputMessage="1" showErrorMessage="1" allowBlank="1" prompt="To change the starting day of the week, go to cell P12 in About sheet"/>
    <dataValidation sqref="C6:D6" showDropDown="0" showInputMessage="1" showErrorMessage="1" allowBlank="1" prompt="Enter daily notes below the calendar days, such as this cell"/>
    <dataValidation sqref="C25:K26" showDropDown="0" showInputMessage="1" showErrorMessage="1" allowBlank="1" prompt="Enter monthly notes in cells C24 to K28"/>
    <dataValidation sqref="O25:U25" showDropDown="0" showInputMessage="1" showErrorMessage="1" allowBlank="1" prompt="Previous month calendar"/>
    <dataValidation sqref="X25:AD25" showDropDown="0" showInputMessage="1" showErrorMessage="1" allowBlank="1" prompt="Next month calendar"/>
  </dataValidations>
  <printOptions horizontalCentered="1"/>
  <pageMargins left="0.5" right="0.5" top="0.25" bottom="0.25" header="0.25" footer="0.25"/>
  <pageSetup orientation="landscape" scale="88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15" zoomScaleNormal="100" workbookViewId="0">
      <selection activeCell="AH18" sqref="AH18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DATE('2026'!P8,8,1)</f>
        <v/>
      </c>
      <c r="AF2" s="29" t="n"/>
      <c r="AG2" s="149" t="inlineStr">
        <is>
          <t>Away: 
CBP - 2 weeks: Lux
Peds Inpatient: Schutt
Med A: Mautino/Patel/Wohlgemuth
OB: Gaspar</t>
        </is>
      </c>
      <c r="AK2" s="149" t="inlineStr">
        <is>
          <t xml:space="preserve">GYN/CM: Kendrick
NICU: Sublette
R3 - Ortho: 
R2 - Peds: Beutel
Derm: 
Ultrasound: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1" t="n"/>
      <c r="H6" s="202" t="n"/>
      <c r="I6" s="201" t="n"/>
      <c r="J6" s="202" t="n"/>
      <c r="K6" s="201" t="n"/>
      <c r="L6" s="204" t="n"/>
      <c r="M6" s="204" t="n"/>
      <c r="N6" s="202" t="n"/>
      <c r="O6" s="201" t="n"/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Hard
Lux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/>
      </c>
      <c r="AI6" s="94">
        <f>COUNTIF($C$5:$AD$21,"*Oehm*")</f>
        <v/>
      </c>
      <c r="AJ6" s="94">
        <f>COUNTIF($C$5:$AD$21,"*Schutt*")</f>
        <v/>
      </c>
      <c r="AK6" s="94">
        <f>COUNTIF($C$5:$AD$21,"*Stanek*")</f>
        <v/>
      </c>
      <c r="AL6" s="94">
        <f>COUNTIF($C$5:$AD$21,"*Strand*")</f>
        <v/>
      </c>
      <c r="AM6" s="94">
        <f>COUNTIF($C$5:$AD$21,"*Wohlgemuth*")</f>
        <v/>
      </c>
      <c r="AN6" s="94">
        <f>SUM(AH6:AM6)</f>
        <v/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22" t="inlineStr">
        <is>
          <t>Strand
Gaspar</t>
        </is>
      </c>
      <c r="D9" s="202" t="n"/>
      <c r="E9" s="203" t="inlineStr">
        <is>
          <t>Hard
Mudondo</t>
        </is>
      </c>
      <c r="F9" s="202" t="n"/>
      <c r="G9" s="203" t="inlineStr">
        <is>
          <t>Hard
Gaspar</t>
        </is>
      </c>
      <c r="H9" s="202" t="n"/>
      <c r="I9" s="203" t="inlineStr">
        <is>
          <t>Hard
Bottke</t>
        </is>
      </c>
      <c r="J9" s="202" t="n"/>
      <c r="K9" s="203" t="inlineStr">
        <is>
          <t>Hard
Johnson</t>
        </is>
      </c>
      <c r="L9" s="204" t="n"/>
      <c r="M9" s="204" t="n"/>
      <c r="N9" s="202" t="n"/>
      <c r="O9" s="203" t="inlineStr">
        <is>
          <t>Hard
Mautino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Stanek
Bottke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/>
      </c>
      <c r="AI9" s="94">
        <f>COUNTIF($C$5:$AD$21,"*Bottke*")</f>
        <v/>
      </c>
      <c r="AJ9" s="94">
        <f>COUNTIF($C$5:$AD$21,"*Bower*")</f>
        <v/>
      </c>
      <c r="AK9" s="94">
        <f>COUNTIF($C$5:$AD$21,"*Gaspar*")</f>
        <v/>
      </c>
      <c r="AL9" s="94">
        <f>COUNTIF($C$5:$AD$21,"*Kendrick*")</f>
        <v/>
      </c>
      <c r="AM9" s="94">
        <f>COUNTIF($C$5:$AD$21,"*Patel*")</f>
        <v/>
      </c>
      <c r="AN9" s="94">
        <f>COUNTIF($C$5:$AD$21,"*Sublette*")</f>
        <v/>
      </c>
      <c r="AO9" s="92">
        <f>SUM(AH9:AN9)</f>
        <v/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Wohlgemuth
Gaspar</t>
        </is>
      </c>
      <c r="D12" s="202" t="n"/>
      <c r="E12" s="203" t="inlineStr">
        <is>
          <t>Hard
Mautino</t>
        </is>
      </c>
      <c r="F12" s="202" t="n"/>
      <c r="G12" s="203" t="inlineStr">
        <is>
          <t>Hard
Mudondo</t>
        </is>
      </c>
      <c r="H12" s="202" t="n"/>
      <c r="I12" s="203" t="inlineStr">
        <is>
          <t>Hard
Johnson</t>
        </is>
      </c>
      <c r="J12" s="202" t="n"/>
      <c r="K12" s="203" t="inlineStr">
        <is>
          <t>Hard
Bottke</t>
        </is>
      </c>
      <c r="L12" s="204" t="n"/>
      <c r="M12" s="204" t="n"/>
      <c r="N12" s="202" t="n"/>
      <c r="O12" s="203" t="inlineStr">
        <is>
          <t>Hard
Kendrick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Stanek
Mautino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/>
      </c>
      <c r="AI12" s="94">
        <f>COUNTIF($C$5:$AD$21,"*Lux*")</f>
        <v/>
      </c>
      <c r="AJ12" s="94">
        <f>COUNTIF($C$5:$AD$21,"*Mautino*")</f>
        <v/>
      </c>
      <c r="AK12" s="94">
        <f>COUNTIF($C$5:$AD$21,"*Mudondo*")</f>
        <v/>
      </c>
      <c r="AL12" s="84">
        <f>SUM(AH12:AK12)</f>
        <v/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Strand
Bottke</t>
        </is>
      </c>
      <c r="D15" s="202" t="n"/>
      <c r="E15" s="203" t="inlineStr">
        <is>
          <t>Oehm
Sublette</t>
        </is>
      </c>
      <c r="F15" s="202" t="n"/>
      <c r="G15" s="203" t="inlineStr">
        <is>
          <t>Oehm
Beutel</t>
        </is>
      </c>
      <c r="H15" s="202" t="n"/>
      <c r="I15" s="203" t="inlineStr">
        <is>
          <t>Oehm
Mautino</t>
        </is>
      </c>
      <c r="J15" s="202" t="n"/>
      <c r="K15" s="203" t="inlineStr">
        <is>
          <t>Oehm
Sublette</t>
        </is>
      </c>
      <c r="L15" s="204" t="n"/>
      <c r="M15" s="204" t="n"/>
      <c r="N15" s="202" t="n"/>
      <c r="O15" s="203" t="inlineStr">
        <is>
          <t>Oehm
Mautino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Wohlgemuth
Johnson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  <c r="AG15" s="41" t="inlineStr">
        <is>
          <t>*Strand Sat-Sunday</t>
        </is>
      </c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211" t="n"/>
      <c r="J16" s="212" t="n"/>
      <c r="K16" s="124" t="n"/>
      <c r="L16" s="161" t="n"/>
      <c r="M16" s="161" t="n"/>
      <c r="N16" s="125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L17" s="213" t="n"/>
      <c r="M17" s="118" t="n"/>
      <c r="N17" s="214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3" t="inlineStr">
        <is>
          <t>Hard
Patel</t>
        </is>
      </c>
      <c r="D18" s="202" t="n"/>
      <c r="E18" s="203" t="inlineStr">
        <is>
          <t>Oehm
Mudondo</t>
        </is>
      </c>
      <c r="F18" s="202" t="n"/>
      <c r="G18" s="203" t="inlineStr">
        <is>
          <t>Oehm
Sublette</t>
        </is>
      </c>
      <c r="H18" s="202" t="n"/>
      <c r="I18" s="203" t="inlineStr">
        <is>
          <t>Oehm
Gaspar</t>
        </is>
      </c>
      <c r="J18" s="202" t="n"/>
      <c r="K18" s="203" t="inlineStr">
        <is>
          <t>Oehm
Mautino</t>
        </is>
      </c>
      <c r="L18" s="202" t="n"/>
      <c r="M18" s="71" t="n"/>
      <c r="O18" s="203" t="inlineStr">
        <is>
          <t>Oehm
Johnson</t>
        </is>
      </c>
      <c r="P18" s="204" t="n"/>
      <c r="Q18" s="204" t="n"/>
      <c r="R18" s="204" t="n"/>
      <c r="S18" s="204" t="n"/>
      <c r="T18" s="204" t="n"/>
      <c r="U18" s="204" t="n"/>
      <c r="V18" s="202" t="n"/>
      <c r="W18" s="203" t="inlineStr">
        <is>
          <t>Stanek
Bottke</t>
        </is>
      </c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211" t="n"/>
      <c r="J19" s="212" t="n"/>
      <c r="K19" s="124" t="n"/>
      <c r="L19" s="161" t="n"/>
      <c r="M19" s="161" t="n"/>
      <c r="N19" s="125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L20" s="213" t="n"/>
      <c r="M20" s="213" t="n"/>
      <c r="N20" s="214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23" t="inlineStr">
        <is>
          <t>Hard
Patel</t>
        </is>
      </c>
      <c r="D21" s="202" t="n"/>
      <c r="E21" s="203" t="inlineStr">
        <is>
          <t>Stanek
Mautino</t>
        </is>
      </c>
      <c r="F21" s="202" t="n"/>
      <c r="G21" s="201" t="n"/>
      <c r="H21" s="202" t="n"/>
      <c r="I21" s="201" t="n"/>
      <c r="J21" s="202" t="n"/>
      <c r="K21" s="71" t="n"/>
      <c r="L21" s="14" t="n"/>
      <c r="M21" s="14" t="n"/>
      <c r="N21" s="128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 ht="15" customHeight="1">
      <c r="A32" s="1" t="n"/>
      <c r="C32" s="122" t="n"/>
      <c r="D32" s="122" t="n"/>
      <c r="E32" s="122" t="n"/>
      <c r="F32" s="122" t="n"/>
      <c r="G32" s="122" t="n"/>
      <c r="H32" s="122" t="n"/>
      <c r="I32" s="122" t="n"/>
      <c r="J32" s="122" t="n"/>
      <c r="K32" s="122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/>
      </c>
      <c r="F38" s="104">
        <f>COUNTIF($I$5:$N$21,"*Hard*")</f>
        <v/>
      </c>
      <c r="G38" s="104">
        <f>COUNTIF($O$5:$V$21,"*Hard*")</f>
        <v/>
      </c>
      <c r="H38" s="104">
        <f>COUNTIF($C$5:$D$21,"*Hard*")</f>
        <v/>
      </c>
      <c r="I38" s="104">
        <f>COUNTIF($W$5:$AD$21,"*Hard*")</f>
        <v/>
      </c>
    </row>
    <row r="39">
      <c r="D39" s="101" t="inlineStr">
        <is>
          <t>Oehm</t>
        </is>
      </c>
      <c r="E39" s="104">
        <f>COUNTIF($E$5:$H$21,"*Oehm*")</f>
        <v/>
      </c>
      <c r="F39" s="104">
        <f>COUNTIF($I$5:$N$21,"*Oehm*")</f>
        <v/>
      </c>
      <c r="G39" s="104">
        <f>COUNTIF($O$5:$V$21,"*Oehm*")</f>
        <v/>
      </c>
      <c r="H39" s="104">
        <f>COUNTIF($C$5:$D$21,"*Oehm*")</f>
        <v/>
      </c>
      <c r="I39" s="104">
        <f>COUNTIF($W$5:$AD$21,"*Oehm*")</f>
        <v/>
      </c>
    </row>
    <row r="40">
      <c r="D40" s="101" t="inlineStr">
        <is>
          <t>Schutt</t>
        </is>
      </c>
      <c r="E40" s="104">
        <f>COUNTIF($E$5:$H$21,"*Schutt*")</f>
        <v/>
      </c>
      <c r="F40" s="104">
        <f>COUNTIF($I$5:$N$21,"*Schutt*")</f>
        <v/>
      </c>
      <c r="G40" s="104">
        <f>COUNTIF($O$5:$V$21,"*Schutt*")</f>
        <v/>
      </c>
      <c r="H40" s="104">
        <f>COUNTIF($C$5:$D$21,"*Schutt*")</f>
        <v/>
      </c>
      <c r="I40" s="104">
        <f>COUNTIF($W$5:$AD$21,"*Schutt*")</f>
        <v/>
      </c>
    </row>
    <row r="41">
      <c r="D41" s="101" t="inlineStr">
        <is>
          <t>Stanek</t>
        </is>
      </c>
      <c r="E41" s="104">
        <f>COUNTIF($E$5:$H$21,"*Stanek*")</f>
        <v/>
      </c>
      <c r="F41" s="104">
        <f>COUNTIF($I$5:$N$21,"*Stanek*")</f>
        <v/>
      </c>
      <c r="G41" s="104">
        <f>COUNTIF($O$5:$V$21,"*Stanek*")</f>
        <v/>
      </c>
      <c r="H41" s="104">
        <f>COUNTIF($C$5:$D$21,"*Stanek*")</f>
        <v/>
      </c>
      <c r="I41" s="104">
        <f>COUNTIF($W$5:$AD$21,"*Stanek*")</f>
        <v/>
      </c>
    </row>
    <row r="42">
      <c r="D42" s="101" t="inlineStr">
        <is>
          <t>Strand</t>
        </is>
      </c>
      <c r="E42" s="104">
        <f>COUNTIF($E$5:$H$21,"*Strand*")</f>
        <v/>
      </c>
      <c r="F42" s="104">
        <f>COUNTIF($I$5:$N$21,"*Strand*")</f>
        <v/>
      </c>
      <c r="G42" s="104">
        <f>COUNTIF($O$5:$V$21,"*Strand*")</f>
        <v/>
      </c>
      <c r="H42" s="104">
        <f>COUNTIF($C$5:$D$21,"*Strand*")</f>
        <v/>
      </c>
      <c r="I42" s="104">
        <f>COUNTIF($W$5:$AD$21,"*Strand*")</f>
        <v/>
      </c>
    </row>
    <row r="43">
      <c r="D43" s="101" t="inlineStr">
        <is>
          <t>Wohlgemuth</t>
        </is>
      </c>
      <c r="E43" s="104">
        <f>COUNTIF($E$5:$H$21,"*Wohlgemuth*")</f>
        <v/>
      </c>
      <c r="F43" s="104">
        <f>COUNTIF($I$5:$N$21,"*Wohlgemuth*")</f>
        <v/>
      </c>
      <c r="G43" s="104">
        <f>COUNTIF($O$5:$V$21,"*Wohlgemuth*")</f>
        <v/>
      </c>
      <c r="H43" s="104">
        <f>COUNTIF($C$5:$D$21,"*Wohlgemuth*")</f>
        <v/>
      </c>
      <c r="I43" s="104">
        <f>COUNTIF($W$5:$AD$21,"*Wohlgemuth*")</f>
        <v/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/>
      </c>
      <c r="F45" s="106">
        <f>COUNTIF($I$5:$N$21,"*Beutel*")</f>
        <v/>
      </c>
      <c r="G45" s="106">
        <f>COUNTIF($O$5:$V$21,"*Beutel*")</f>
        <v/>
      </c>
      <c r="H45" s="106">
        <f>COUNTIF($C$5:$D$21,"*Beutel*")</f>
        <v/>
      </c>
      <c r="I45" s="106">
        <f>COUNTIF($W$5:$AD$21,"*Beutel*")</f>
        <v/>
      </c>
    </row>
    <row r="46">
      <c r="D46" s="102" t="inlineStr">
        <is>
          <t>Bottke</t>
        </is>
      </c>
      <c r="E46" s="106">
        <f>COUNTIF($E$5:$H$21,"*Bottke*")</f>
        <v/>
      </c>
      <c r="F46" s="106">
        <f>COUNTIF($I$5:$N$21,"*Bottke*")</f>
        <v/>
      </c>
      <c r="G46" s="106">
        <f>COUNTIF($O$5:$V$21,"*Bottke*")</f>
        <v/>
      </c>
      <c r="H46" s="106">
        <f>COUNTIF($C$5:$D$21,"*Bottke*")</f>
        <v/>
      </c>
      <c r="I46" s="106">
        <f>COUNTIF($W$5:$AD$21,"*Bottke*")</f>
        <v/>
      </c>
    </row>
    <row r="47">
      <c r="D47" s="102" t="inlineStr">
        <is>
          <t>Bower</t>
        </is>
      </c>
      <c r="E47" s="106">
        <f>COUNTIF($E$5:$H$21,"*Bower*")</f>
        <v/>
      </c>
      <c r="F47" s="106">
        <f>COUNTIF($I$5:$N$21,"*Bower*")</f>
        <v/>
      </c>
      <c r="G47" s="106">
        <f>COUNTIF($O$5:$V$21,"*Bower*")</f>
        <v/>
      </c>
      <c r="H47" s="106">
        <f>COUNTIF($C$5:$D$21,"*Bower*")</f>
        <v/>
      </c>
      <c r="I47" s="106">
        <f>COUNTIF($W$5:$AD$21,"*Bower*")</f>
        <v/>
      </c>
    </row>
    <row r="48">
      <c r="D48" s="102" t="inlineStr">
        <is>
          <t>Gaspar</t>
        </is>
      </c>
      <c r="E48" s="106">
        <f>COUNTIF($E$5:$H$21,"*Gaspar*")</f>
        <v/>
      </c>
      <c r="F48" s="106">
        <f>COUNTIF($I$5:$N$21,"*Gaspar*")</f>
        <v/>
      </c>
      <c r="G48" s="106">
        <f>COUNTIF($O$5:$V$21,"*Gaspar*")</f>
        <v/>
      </c>
      <c r="H48" s="106">
        <f>COUNTIF($C$5:$D$21,"*Gaspar*")</f>
        <v/>
      </c>
      <c r="I48" s="106">
        <f>COUNTIF($W$5:$AD$21,"*Gaspar*")</f>
        <v/>
      </c>
    </row>
    <row r="49">
      <c r="D49" s="102" t="inlineStr">
        <is>
          <t>Kendrick</t>
        </is>
      </c>
      <c r="E49" s="106">
        <f>COUNTIF($E$5:$H$21,"*Kendrick*")</f>
        <v/>
      </c>
      <c r="F49" s="106">
        <f>COUNTIF($I$5:$N$21,"*Kendrick*")</f>
        <v/>
      </c>
      <c r="G49" s="106">
        <f>COUNTIF($O$5:$V$21,"*Kendrick*")</f>
        <v/>
      </c>
      <c r="H49" s="106">
        <f>COUNTIF($C$5:$D$21,"*Kendrick*")</f>
        <v/>
      </c>
      <c r="I49" s="106">
        <f>COUNTIF($W$5:$AD$21,"*Kendrick*")</f>
        <v/>
      </c>
    </row>
    <row r="50">
      <c r="D50" s="102" t="inlineStr">
        <is>
          <t>Patel</t>
        </is>
      </c>
      <c r="E50" s="106">
        <f>COUNTIF($E$5:$H$21,"*Patel*")</f>
        <v/>
      </c>
      <c r="F50" s="106">
        <f>COUNTIF($I$5:$N$21,"*Patel*")</f>
        <v/>
      </c>
      <c r="G50" s="106">
        <f>COUNTIF($O$5:$V$21,"*Patel*")</f>
        <v/>
      </c>
      <c r="H50" s="106">
        <f>COUNTIF($C$5:$D$21,"*Patel*")</f>
        <v/>
      </c>
      <c r="I50" s="106">
        <f>COUNTIF($W$5:$AD$21,"*Patel*")</f>
        <v/>
      </c>
    </row>
    <row r="51">
      <c r="D51" s="102" t="inlineStr">
        <is>
          <t>Sublette</t>
        </is>
      </c>
      <c r="E51" s="106">
        <f>COUNTIF($E$5:$H$21,"*Sublette*")</f>
        <v/>
      </c>
      <c r="F51" s="106">
        <f>COUNTIF($I$5:$N$21,"*Sublette*")</f>
        <v/>
      </c>
      <c r="G51" s="106">
        <f>COUNTIF($O$5:$V$21,"*Sublette*")</f>
        <v/>
      </c>
      <c r="H51" s="106">
        <f>COUNTIF($C$5:$D$21,"*Sublette*")</f>
        <v/>
      </c>
      <c r="I51" s="106">
        <f>COUNTIF($W$5:$AD$21,"*Sublette*")</f>
        <v/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/>
      </c>
      <c r="F53" s="107">
        <f>COUNTIF($I$5:$N$21,"*Johnson*")</f>
        <v/>
      </c>
      <c r="G53" s="107">
        <f>COUNTIF($O$5:$V$21,"*Johnson*")</f>
        <v/>
      </c>
      <c r="H53" s="107">
        <f>COUNTIF($C$5:$D$21,"*Johnson*")</f>
        <v/>
      </c>
      <c r="I53" s="107">
        <f>COUNTIF($W$5:$AD$21,"*Johnson*")</f>
        <v/>
      </c>
    </row>
    <row r="54">
      <c r="D54" s="103" t="inlineStr">
        <is>
          <t>Lux</t>
        </is>
      </c>
      <c r="E54" s="107">
        <f>COUNTIF($E$5:$H$21,"*Lux*")</f>
        <v/>
      </c>
      <c r="F54" s="107">
        <f>COUNTIF($I$5:$N$21,"*Lux*")</f>
        <v/>
      </c>
      <c r="G54" s="107">
        <f>COUNTIF($O$5:$V$21,"*Lux*")</f>
        <v/>
      </c>
      <c r="H54" s="107">
        <f>COUNTIF($C$5:$D$21,"*Lux*")</f>
        <v/>
      </c>
      <c r="I54" s="107">
        <f>COUNTIF($W$5:$AD$21,"*Lux*")</f>
        <v/>
      </c>
    </row>
    <row r="55">
      <c r="D55" s="103" t="inlineStr">
        <is>
          <t>Mautino</t>
        </is>
      </c>
      <c r="E55" s="107">
        <f>COUNTIF($E$5:$H$21,"*Mautino*")</f>
        <v/>
      </c>
      <c r="F55" s="107">
        <f>COUNTIF($I$5:$N$21,"*Mautino*")</f>
        <v/>
      </c>
      <c r="G55" s="107">
        <f>COUNTIF($O$5:$V$21,"*Mautino*")</f>
        <v/>
      </c>
      <c r="H55" s="107">
        <f>COUNTIF($C$5:$D$21,"*Mautino*")</f>
        <v/>
      </c>
      <c r="I55" s="107">
        <f>COUNTIF($W$5:$AD$21,"*Mautino*")</f>
        <v/>
      </c>
    </row>
    <row r="56">
      <c r="D56" s="103" t="inlineStr">
        <is>
          <t>Mudondo</t>
        </is>
      </c>
      <c r="E56" s="107">
        <f>COUNTIF($E$5:$H$21,"*Mudondo*")</f>
        <v/>
      </c>
      <c r="F56" s="107">
        <f>COUNTIF($I$5:$N$21,"*Mudondo*")</f>
        <v/>
      </c>
      <c r="G56" s="107">
        <f>COUNTIF($O$5:$V$21,"*Mudondo*")</f>
        <v/>
      </c>
      <c r="H56" s="107">
        <f>COUNTIF($C$5:$D$21,"*Mudondo*")</f>
        <v/>
      </c>
      <c r="I56" s="107">
        <f>COUNTIF($W$5:$AD$21,"*Mudondo*")</f>
        <v/>
      </c>
    </row>
    <row r="57">
      <c r="E57" s="95">
        <f>SUM(E38:E56)</f>
        <v/>
      </c>
      <c r="F57" s="95">
        <f>SUM(F38:F56)</f>
        <v/>
      </c>
      <c r="G57" s="95">
        <f>SUM(G38:G56)</f>
        <v/>
      </c>
      <c r="H57" s="95">
        <f>SUM(H38:H56)</f>
        <v/>
      </c>
      <c r="I57" s="95">
        <f>SUM(I38:I56)</f>
        <v/>
      </c>
    </row>
  </sheetData>
  <mergeCells count="112">
    <mergeCell ref="G21:H21"/>
    <mergeCell ref="C6:D6"/>
    <mergeCell ref="C15:D15"/>
    <mergeCell ref="E8:F8"/>
    <mergeCell ref="O9:V9"/>
    <mergeCell ref="C27:K27"/>
    <mergeCell ref="I16:J16"/>
    <mergeCell ref="W20:AD20"/>
    <mergeCell ref="O5:V5"/>
    <mergeCell ref="G18:H18"/>
    <mergeCell ref="I18:J18"/>
    <mergeCell ref="W12:AD12"/>
    <mergeCell ref="C25:K26"/>
    <mergeCell ref="W9:AD9"/>
    <mergeCell ref="O12:V12"/>
    <mergeCell ref="AG5:AG6"/>
    <mergeCell ref="G20:H20"/>
    <mergeCell ref="I20:J20"/>
    <mergeCell ref="K5:M5"/>
    <mergeCell ref="O14:V14"/>
    <mergeCell ref="K11:M11"/>
    <mergeCell ref="E12:F12"/>
    <mergeCell ref="W4:AD4"/>
    <mergeCell ref="O7:V7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E4:F4"/>
    <mergeCell ref="K8:M8"/>
    <mergeCell ref="G7:H7"/>
    <mergeCell ref="C7:D8"/>
    <mergeCell ref="I7:J7"/>
    <mergeCell ref="K14:M14"/>
    <mergeCell ref="K15:N15"/>
    <mergeCell ref="K7:M7"/>
    <mergeCell ref="K4:M4"/>
    <mergeCell ref="AG8:AG9"/>
    <mergeCell ref="I8:J8"/>
    <mergeCell ref="I17:J17"/>
    <mergeCell ref="O17:V17"/>
    <mergeCell ref="O11:V11"/>
    <mergeCell ref="C10:D11"/>
    <mergeCell ref="C16:D17"/>
    <mergeCell ref="I19:J19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K18:L18"/>
    <mergeCell ref="G8:H8"/>
    <mergeCell ref="E17:F17"/>
    <mergeCell ref="W5:AD5"/>
    <mergeCell ref="G17:H17"/>
    <mergeCell ref="AG11:AG12"/>
    <mergeCell ref="X25:AD25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O21:V21"/>
    <mergeCell ref="G5:H5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X25:AD25" showDropDown="0" showInputMessage="1" showErrorMessage="1" allowBlank="1" prompt="Next month calendar"/>
    <dataValidation sqref="O25:U25" showDropDown="0" showInputMessage="1" showErrorMessage="1" allowBlank="1" prompt="Previous month calendar"/>
    <dataValidation sqref="C25:K26" showDropDown="0" showInputMessage="1" showErrorMessage="1" allowBlank="1" prompt="Enter monthly notes in cells C24 to K28"/>
    <dataValidation sqref="C6:D6" showDropDown="0" showInputMessage="1" showErrorMessage="1" allowBlank="1" prompt="Enter daily notes below the calendar days, such as this cell"/>
    <dataValidation sqref="C4:D4" showDropDown="0" showInputMessage="1" showErrorMessage="1" allowBlank="1" prompt="To change the starting day of the week, go to cell P12 in About sheet"/>
    <dataValidation sqref="C5:D5" showDropDown="0" showInputMessage="1" showErrorMessage="1" allowBlank="1" prompt="Calendar days are automatically updated"/>
    <dataValidation sqref="C2:AD2" showDropDown="0" showInputMessage="1" showErrorMessage="1" allowBlank="1" prompt="To change the calendar year, go to cell P8 in About sheet"/>
  </dataValidations>
  <printOptions horizontalCentered="1"/>
  <pageMargins left="0.5" right="0.5" top="0.25" bottom="0.25" header="0.25" footer="0.25"/>
  <pageSetup orientation="landscape" scale="88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6" zoomScaleNormal="100" workbookViewId="0">
      <selection activeCell="C15" sqref="C15:D15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DATE('2026'!P8,9,1)</f>
        <v/>
      </c>
      <c r="AF2" s="29" t="n"/>
      <c r="AG2" s="149" t="inlineStr">
        <is>
          <t>Away: Beutel
CBP - 2 weeks: 
Peds Inpatient: Oehm
Med A: Kendrick &amp; Hard
OB: Mudondo</t>
        </is>
      </c>
      <c r="AK2" s="149" t="inlineStr">
        <is>
          <t xml:space="preserve">GYN/CM: Sublette
NICU: Gaspar
R3 - Ortho: 
R2 - Peds: Bottke
Derm: 
Ultrasound: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3" t="inlineStr">
        <is>
          <t>Stanek
Patel</t>
        </is>
      </c>
      <c r="H6" s="202" t="n"/>
      <c r="I6" s="203" t="inlineStr">
        <is>
          <t>Stanek
Mudondo</t>
        </is>
      </c>
      <c r="J6" s="202" t="n"/>
      <c r="K6" s="203" t="inlineStr">
        <is>
          <t>Stanek
Mautino</t>
        </is>
      </c>
      <c r="L6" s="204" t="n"/>
      <c r="M6" s="204" t="n"/>
      <c r="N6" s="202" t="n"/>
      <c r="O6" s="203" t="inlineStr">
        <is>
          <t>Stanek
Mudondo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Strand
Kendrick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/>
      </c>
      <c r="AI6" s="94">
        <f>COUNTIF($C$5:$AD$21,"*Oehm*")</f>
        <v/>
      </c>
      <c r="AJ6" s="94">
        <f>COUNTIF($C$5:$AD$21,"*Schutt*")</f>
        <v/>
      </c>
      <c r="AK6" s="94">
        <f>COUNTIF($C$5:$AD$21,"*Stanek*")</f>
        <v/>
      </c>
      <c r="AL6" s="94">
        <f>COUNTIF($C$5:$AD$21,"*Strand*")</f>
        <v/>
      </c>
      <c r="AM6" s="94">
        <f>COUNTIF($C$5:$AD$21,"*Wohlgemuth*")</f>
        <v/>
      </c>
      <c r="AN6" s="92">
        <f>SUM(AH6:AM6)</f>
        <v/>
      </c>
    </row>
    <row r="7" ht="9.949999999999999" customHeight="1">
      <c r="A7" s="1" t="n"/>
      <c r="C7" s="196">
        <f>W5+1</f>
        <v/>
      </c>
      <c r="D7" s="197" t="n"/>
      <c r="E7" s="224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25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Schutt
Bottke</t>
        </is>
      </c>
      <c r="D9" s="202" t="n"/>
      <c r="E9" s="203" t="inlineStr">
        <is>
          <t>Stanek
Mudondo</t>
        </is>
      </c>
      <c r="F9" s="202" t="n"/>
      <c r="G9" s="203" t="inlineStr">
        <is>
          <t>Stanek
Johnson</t>
        </is>
      </c>
      <c r="H9" s="202" t="n"/>
      <c r="I9" s="203" t="inlineStr">
        <is>
          <t>Stanek
Bottke</t>
        </is>
      </c>
      <c r="J9" s="202" t="n"/>
      <c r="K9" s="203" t="inlineStr">
        <is>
          <t>Stanek
Mautino</t>
        </is>
      </c>
      <c r="L9" s="204" t="n"/>
      <c r="M9" s="204" t="n"/>
      <c r="N9" s="202" t="n"/>
      <c r="O9" s="203" t="inlineStr">
        <is>
          <t>Stanek
Lux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Hard
Patel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/>
      </c>
      <c r="AI9" s="94">
        <f>COUNTIF($C$5:$AD$21,"*Bottke*")</f>
        <v/>
      </c>
      <c r="AJ9" s="94">
        <f>COUNTIF($C$5:$AD$21,"*Bower*")</f>
        <v/>
      </c>
      <c r="AK9" s="94">
        <f>COUNTIF($C$5:$AD$21,"*Gaspar*")</f>
        <v/>
      </c>
      <c r="AL9" s="94">
        <f>COUNTIF($C$5:$AD$21,"*Kendrick*")</f>
        <v/>
      </c>
      <c r="AM9" s="94">
        <f>COUNTIF($C$5:$AD$21,"*Patel*")</f>
        <v/>
      </c>
      <c r="AN9" s="94">
        <f>COUNTIF($C$5:$AD$21,"*Sublette*")</f>
        <v/>
      </c>
      <c r="AO9" s="92">
        <f>SUM(AH9:AN9)</f>
        <v/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Schutt
Kendrick</t>
        </is>
      </c>
      <c r="D12" s="202" t="n"/>
      <c r="E12" s="203" t="inlineStr">
        <is>
          <t>Strand
Mudondo</t>
        </is>
      </c>
      <c r="F12" s="202" t="n"/>
      <c r="G12" s="203" t="inlineStr">
        <is>
          <t>Strand
Kendrick</t>
        </is>
      </c>
      <c r="H12" s="202" t="n"/>
      <c r="I12" s="203" t="inlineStr">
        <is>
          <t>Strand
Patel</t>
        </is>
      </c>
      <c r="J12" s="202" t="n"/>
      <c r="K12" s="203" t="inlineStr">
        <is>
          <t>Strand
Johnson</t>
        </is>
      </c>
      <c r="L12" s="204" t="n"/>
      <c r="M12" s="204" t="n"/>
      <c r="N12" s="202" t="n"/>
      <c r="O12" s="203" t="inlineStr">
        <is>
          <t>Strand
Mautino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Hard
Mudondo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/>
      </c>
      <c r="AI12" s="94">
        <f>COUNTIF($C$5:$AD$21,"*Lux*")</f>
        <v/>
      </c>
      <c r="AJ12" s="94">
        <f>COUNTIF($C$5:$AD$21,"*Mautino*")</f>
        <v/>
      </c>
      <c r="AK12" s="94">
        <f>COUNTIF($C$5:$AD$21,"*Mudondo*")</f>
        <v/>
      </c>
      <c r="AL12" s="84">
        <f>SUM(AH12:AK12)</f>
        <v/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Stanek
Patel</t>
        </is>
      </c>
      <c r="D15" s="202" t="n"/>
      <c r="E15" s="203" t="inlineStr">
        <is>
          <t>Strand
Kendrick</t>
        </is>
      </c>
      <c r="F15" s="202" t="n"/>
      <c r="G15" s="203" t="inlineStr">
        <is>
          <t>Strand
Patel</t>
        </is>
      </c>
      <c r="H15" s="202" t="n"/>
      <c r="I15" s="203" t="inlineStr">
        <is>
          <t>Strand
Mudondo</t>
        </is>
      </c>
      <c r="J15" s="202" t="n"/>
      <c r="K15" s="203" t="inlineStr">
        <is>
          <t>Strand
Kendrick</t>
        </is>
      </c>
      <c r="L15" s="204" t="n"/>
      <c r="M15" s="204" t="n"/>
      <c r="N15" s="202" t="n"/>
      <c r="O15" s="203" t="inlineStr">
        <is>
          <t>Strand
Johnson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Stanek
Sublette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211" t="n"/>
      <c r="J16" s="212" t="n"/>
      <c r="K16" s="124" t="n"/>
      <c r="L16" s="161" t="n"/>
      <c r="M16" s="161" t="n"/>
      <c r="N16" s="125" t="n"/>
      <c r="O16" s="211" t="n"/>
      <c r="P16" s="219" t="n"/>
      <c r="Q16" s="219" t="n"/>
      <c r="R16" s="219" t="n"/>
      <c r="S16" s="219" t="n"/>
      <c r="T16" s="219" t="n"/>
      <c r="U16" s="219" t="n"/>
      <c r="V16" s="212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L17" s="213" t="n"/>
      <c r="M17" s="213" t="n"/>
      <c r="N17" s="214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22" t="inlineStr">
        <is>
          <t>Hard
Lux</t>
        </is>
      </c>
      <c r="D18" s="202" t="n"/>
      <c r="E18" s="203" t="inlineStr">
        <is>
          <t>Schutt
Mudondo</t>
        </is>
      </c>
      <c r="F18" s="202" t="n"/>
      <c r="G18" s="203" t="inlineStr">
        <is>
          <t>Schutt
Sublette</t>
        </is>
      </c>
      <c r="H18" s="202" t="n"/>
      <c r="I18" s="203" t="inlineStr">
        <is>
          <t>Schutt
Lux</t>
        </is>
      </c>
      <c r="J18" s="202" t="n"/>
      <c r="K18" s="174" t="n"/>
      <c r="L18" s="175" t="n"/>
      <c r="M18" s="175" t="n"/>
      <c r="N18" s="176" t="n"/>
      <c r="O18" s="201" t="n"/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211" t="n"/>
      <c r="J19" s="212" t="n"/>
      <c r="K19" s="124" t="n"/>
      <c r="L19" s="161" t="n"/>
      <c r="M19" s="161" t="n"/>
      <c r="N19" s="125" t="n"/>
      <c r="O19" s="211" t="n"/>
      <c r="P19" s="219" t="n"/>
      <c r="Q19" s="219" t="n"/>
      <c r="R19" s="219" t="n"/>
      <c r="S19" s="219" t="n"/>
      <c r="T19" s="219" t="n"/>
      <c r="U19" s="219" t="n"/>
      <c r="V19" s="212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L20" s="213" t="n"/>
      <c r="M20" s="213" t="n"/>
      <c r="N20" s="214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174" t="n"/>
      <c r="L21" s="175" t="n"/>
      <c r="M21" s="175" t="n"/>
      <c r="N21" s="176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>
      <c r="A32" s="1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O33" s="216" t="n"/>
      <c r="P33" s="217" t="n"/>
      <c r="Q33" s="217" t="n"/>
      <c r="R33" s="217" t="n"/>
      <c r="S33" s="217" t="n"/>
      <c r="T33" s="217" t="n"/>
      <c r="U33" s="216" t="n"/>
      <c r="V33" s="59" t="n"/>
      <c r="W33" s="59" t="n"/>
      <c r="X33" s="216" t="n"/>
      <c r="Y33" s="217" t="n"/>
      <c r="Z33" s="217" t="n"/>
      <c r="AA33" s="217" t="n"/>
      <c r="AB33" s="217" t="n"/>
      <c r="AC33" s="217" t="n"/>
      <c r="AD33" s="217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/>
      </c>
      <c r="F38" s="104">
        <f>COUNTIF($I$5:$N$21,"*Hard*")</f>
        <v/>
      </c>
      <c r="G38" s="104">
        <f>COUNTIF($O$5:$V$21,"*Hard*")</f>
        <v/>
      </c>
      <c r="H38" s="104">
        <f>COUNTIF($C$5:$D$21,"*Hard*")</f>
        <v/>
      </c>
      <c r="I38" s="104">
        <f>COUNTIF($W$5:$AD$21,"*Hard*")</f>
        <v/>
      </c>
    </row>
    <row r="39">
      <c r="D39" s="101" t="inlineStr">
        <is>
          <t>Oehm</t>
        </is>
      </c>
      <c r="E39" s="104">
        <f>COUNTIF($E$5:$H$21,"*Oehm*")</f>
        <v/>
      </c>
      <c r="F39" s="104">
        <f>COUNTIF($I$5:$N$21,"*Oehm*")</f>
        <v/>
      </c>
      <c r="G39" s="104">
        <f>COUNTIF($O$5:$V$21,"*Oehm*")</f>
        <v/>
      </c>
      <c r="H39" s="104">
        <f>COUNTIF($C$5:$D$21,"*Oehm*")</f>
        <v/>
      </c>
      <c r="I39" s="104">
        <f>COUNTIF($W$5:$AD$21,"*Oehm*")</f>
        <v/>
      </c>
    </row>
    <row r="40">
      <c r="D40" s="101" t="inlineStr">
        <is>
          <t>Schutt</t>
        </is>
      </c>
      <c r="E40" s="104">
        <f>COUNTIF($E$5:$H$21,"*Schutt*")</f>
        <v/>
      </c>
      <c r="F40" s="104">
        <f>COUNTIF($I$5:$N$21,"*Schutt*")</f>
        <v/>
      </c>
      <c r="G40" s="104">
        <f>COUNTIF($O$5:$V$21,"*Schutt*")</f>
        <v/>
      </c>
      <c r="H40" s="104">
        <f>COUNTIF($C$5:$D$21,"*Schutt*")</f>
        <v/>
      </c>
      <c r="I40" s="104">
        <f>COUNTIF($W$5:$AD$21,"*Schutt*")</f>
        <v/>
      </c>
    </row>
    <row r="41">
      <c r="D41" s="101" t="inlineStr">
        <is>
          <t>Stanek</t>
        </is>
      </c>
      <c r="E41" s="104">
        <f>COUNTIF($E$5:$H$21,"*Stanek*")</f>
        <v/>
      </c>
      <c r="F41" s="104">
        <f>COUNTIF($I$5:$N$21,"*Stanek*")</f>
        <v/>
      </c>
      <c r="G41" s="104">
        <f>COUNTIF($O$5:$V$21,"*Stanek*")</f>
        <v/>
      </c>
      <c r="H41" s="104">
        <f>COUNTIF($C$5:$D$21,"*Stanek*")</f>
        <v/>
      </c>
      <c r="I41" s="104">
        <f>COUNTIF($W$5:$AD$21,"*Stanek*")</f>
        <v/>
      </c>
    </row>
    <row r="42">
      <c r="D42" s="101" t="inlineStr">
        <is>
          <t>Strand</t>
        </is>
      </c>
      <c r="E42" s="104">
        <f>COUNTIF($E$5:$H$21,"*Strand*")</f>
        <v/>
      </c>
      <c r="F42" s="104">
        <f>COUNTIF($I$5:$N$21,"*Strand*")</f>
        <v/>
      </c>
      <c r="G42" s="104">
        <f>COUNTIF($O$5:$V$21,"*Strand*")</f>
        <v/>
      </c>
      <c r="H42" s="104">
        <f>COUNTIF($C$5:$D$21,"*Strand*")</f>
        <v/>
      </c>
      <c r="I42" s="104">
        <f>COUNTIF($W$5:$AD$21,"*Strand*")</f>
        <v/>
      </c>
    </row>
    <row r="43">
      <c r="D43" s="101" t="inlineStr">
        <is>
          <t>Wohlgemuth</t>
        </is>
      </c>
      <c r="E43" s="104">
        <f>COUNTIF($E$5:$H$21,"*Wohlgemuth*")</f>
        <v/>
      </c>
      <c r="F43" s="104">
        <f>COUNTIF($I$5:$N$21,"*Wohlgemuth*")</f>
        <v/>
      </c>
      <c r="G43" s="104">
        <f>COUNTIF($O$5:$V$21,"*Wohlgemuth*")</f>
        <v/>
      </c>
      <c r="H43" s="104">
        <f>COUNTIF($C$5:$D$21,"*Wohlgemuth*")</f>
        <v/>
      </c>
      <c r="I43" s="104">
        <f>COUNTIF($W$5:$AD$21,"*Wohlgemuth*")</f>
        <v/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/>
      </c>
      <c r="F45" s="106">
        <f>COUNTIF($I$5:$N$21,"*Beutel*")</f>
        <v/>
      </c>
      <c r="G45" s="106">
        <f>COUNTIF($O$5:$V$21,"*Beutel*")</f>
        <v/>
      </c>
      <c r="H45" s="106">
        <f>COUNTIF($C$5:$D$21,"*Beutel*")</f>
        <v/>
      </c>
      <c r="I45" s="106">
        <f>COUNTIF($W$5:$AD$21,"*Beutel*")</f>
        <v/>
      </c>
    </row>
    <row r="46">
      <c r="D46" s="102" t="inlineStr">
        <is>
          <t>Bottke</t>
        </is>
      </c>
      <c r="E46" s="106">
        <f>COUNTIF($E$5:$H$21,"*Bottke*")</f>
        <v/>
      </c>
      <c r="F46" s="106">
        <f>COUNTIF($I$5:$N$21,"*Bottke*")</f>
        <v/>
      </c>
      <c r="G46" s="106">
        <f>COUNTIF($O$5:$V$21,"*Bottke*")</f>
        <v/>
      </c>
      <c r="H46" s="106">
        <f>COUNTIF($C$5:$D$21,"*Bottke*")</f>
        <v/>
      </c>
      <c r="I46" s="106">
        <f>COUNTIF($W$5:$AD$21,"*Bottke*")</f>
        <v/>
      </c>
    </row>
    <row r="47">
      <c r="D47" s="102" t="inlineStr">
        <is>
          <t>Bower</t>
        </is>
      </c>
      <c r="E47" s="106">
        <f>COUNTIF($E$5:$H$21,"*Bower*")</f>
        <v/>
      </c>
      <c r="F47" s="106">
        <f>COUNTIF($I$5:$N$21,"*Bower*")</f>
        <v/>
      </c>
      <c r="G47" s="106">
        <f>COUNTIF($O$5:$V$21,"*Bower*")</f>
        <v/>
      </c>
      <c r="H47" s="106">
        <f>COUNTIF($C$5:$D$21,"*Bower*")</f>
        <v/>
      </c>
      <c r="I47" s="106">
        <f>COUNTIF($W$5:$AD$21,"*Bower*")</f>
        <v/>
      </c>
    </row>
    <row r="48">
      <c r="D48" s="102" t="inlineStr">
        <is>
          <t>Gaspar</t>
        </is>
      </c>
      <c r="E48" s="106">
        <f>COUNTIF($E$5:$H$21,"*Gaspar*")</f>
        <v/>
      </c>
      <c r="F48" s="106">
        <f>COUNTIF($I$5:$N$21,"*Gaspar*")</f>
        <v/>
      </c>
      <c r="G48" s="106">
        <f>COUNTIF($O$5:$V$21,"*Gaspar*")</f>
        <v/>
      </c>
      <c r="H48" s="106">
        <f>COUNTIF($C$5:$D$21,"*Gaspar*")</f>
        <v/>
      </c>
      <c r="I48" s="106">
        <f>COUNTIF($W$5:$AD$21,"*Gaspar*")</f>
        <v/>
      </c>
    </row>
    <row r="49">
      <c r="D49" s="102" t="inlineStr">
        <is>
          <t>Kendrick</t>
        </is>
      </c>
      <c r="E49" s="106">
        <f>COUNTIF($E$5:$H$21,"*Kendrick*")</f>
        <v/>
      </c>
      <c r="F49" s="106">
        <f>COUNTIF($I$5:$N$21,"*Kendrick*")</f>
        <v/>
      </c>
      <c r="G49" s="106">
        <f>COUNTIF($O$5:$V$21,"*Kendrick*")</f>
        <v/>
      </c>
      <c r="H49" s="106">
        <f>COUNTIF($C$5:$D$21,"*Kendrick*")</f>
        <v/>
      </c>
      <c r="I49" s="106">
        <f>COUNTIF($W$5:$AD$21,"*Kendrick*")</f>
        <v/>
      </c>
    </row>
    <row r="50">
      <c r="D50" s="102" t="inlineStr">
        <is>
          <t>Patel</t>
        </is>
      </c>
      <c r="E50" s="106">
        <f>COUNTIF($E$5:$H$21,"*Patel*")</f>
        <v/>
      </c>
      <c r="F50" s="106">
        <f>COUNTIF($I$5:$N$21,"*Patel*")</f>
        <v/>
      </c>
      <c r="G50" s="106">
        <f>COUNTIF($O$5:$V$21,"*Patel*")</f>
        <v/>
      </c>
      <c r="H50" s="106">
        <f>COUNTIF($C$5:$D$21,"*Patel*")</f>
        <v/>
      </c>
      <c r="I50" s="106">
        <f>COUNTIF($W$5:$AD$21,"*Patel*")</f>
        <v/>
      </c>
    </row>
    <row r="51">
      <c r="D51" s="102" t="inlineStr">
        <is>
          <t>Sublette</t>
        </is>
      </c>
      <c r="E51" s="106">
        <f>COUNTIF($E$5:$H$21,"*Sublette*")</f>
        <v/>
      </c>
      <c r="F51" s="106">
        <f>COUNTIF($I$5:$N$21,"*Sublette*")</f>
        <v/>
      </c>
      <c r="G51" s="106">
        <f>COUNTIF($O$5:$V$21,"*Sublette*")</f>
        <v/>
      </c>
      <c r="H51" s="106">
        <f>COUNTIF($C$5:$D$21,"*Sublette*")</f>
        <v/>
      </c>
      <c r="I51" s="106">
        <f>COUNTIF($W$5:$AD$21,"*Sublette*")</f>
        <v/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/>
      </c>
      <c r="F53" s="107">
        <f>COUNTIF($I$5:$N$21,"*Johnson*")</f>
        <v/>
      </c>
      <c r="G53" s="107">
        <f>COUNTIF($O$5:$V$21,"*Johnson*")</f>
        <v/>
      </c>
      <c r="H53" s="107">
        <f>COUNTIF($C$5:$D$21,"*Johnson*")</f>
        <v/>
      </c>
      <c r="I53" s="107">
        <f>COUNTIF($W$5:$AD$21,"*Johnson*")</f>
        <v/>
      </c>
    </row>
    <row r="54">
      <c r="D54" s="103" t="inlineStr">
        <is>
          <t>Lux</t>
        </is>
      </c>
      <c r="E54" s="107">
        <f>COUNTIF($E$5:$H$21,"*Lux*")</f>
        <v/>
      </c>
      <c r="F54" s="107">
        <f>COUNTIF($I$5:$N$21,"*Lux*")</f>
        <v/>
      </c>
      <c r="G54" s="107">
        <f>COUNTIF($O$5:$V$21,"*Lux*")</f>
        <v/>
      </c>
      <c r="H54" s="107">
        <f>COUNTIF($C$5:$D$21,"*Lux*")</f>
        <v/>
      </c>
      <c r="I54" s="107">
        <f>COUNTIF($W$5:$AD$21,"*Lux*")</f>
        <v/>
      </c>
    </row>
    <row r="55">
      <c r="D55" s="103" t="inlineStr">
        <is>
          <t>Mautino</t>
        </is>
      </c>
      <c r="E55" s="107">
        <f>COUNTIF($E$5:$H$21,"*Mautino*")</f>
        <v/>
      </c>
      <c r="F55" s="107">
        <f>COUNTIF($I$5:$N$21,"*Mautino*")</f>
        <v/>
      </c>
      <c r="G55" s="107">
        <f>COUNTIF($O$5:$V$21,"*Mautino*")</f>
        <v/>
      </c>
      <c r="H55" s="107">
        <f>COUNTIF($C$5:$D$21,"*Mautino*")</f>
        <v/>
      </c>
      <c r="I55" s="107">
        <f>COUNTIF($W$5:$AD$21,"*Mautino*")</f>
        <v/>
      </c>
    </row>
    <row r="56">
      <c r="D56" s="103" t="inlineStr">
        <is>
          <t>Mudondo</t>
        </is>
      </c>
      <c r="E56" s="107">
        <f>COUNTIF($E$5:$H$21,"*Mudondo*")</f>
        <v/>
      </c>
      <c r="F56" s="107">
        <f>COUNTIF($I$5:$N$21,"*Mudondo*")</f>
        <v/>
      </c>
      <c r="G56" s="107">
        <f>COUNTIF($O$5:$V$21,"*Mudondo*")</f>
        <v/>
      </c>
      <c r="H56" s="107">
        <f>COUNTIF($C$5:$D$21,"*Mudondo*")</f>
        <v/>
      </c>
      <c r="I56" s="107">
        <f>COUNTIF($W$5:$AD$21,"*Mudondo*")</f>
        <v/>
      </c>
    </row>
    <row r="57">
      <c r="E57" s="95">
        <f>SUM(E38:E56)</f>
        <v/>
      </c>
      <c r="F57" s="95">
        <f>SUM(F38:F56)</f>
        <v/>
      </c>
      <c r="G57" s="95">
        <f>SUM(G38:G56)</f>
        <v/>
      </c>
      <c r="H57" s="95">
        <f>SUM(H38:H56)</f>
        <v/>
      </c>
      <c r="I57" s="95">
        <f>SUM(I38:I56)</f>
        <v/>
      </c>
    </row>
  </sheetData>
  <mergeCells count="113">
    <mergeCell ref="G21:H21"/>
    <mergeCell ref="C6:D6"/>
    <mergeCell ref="C15:D15"/>
    <mergeCell ref="O19:V19"/>
    <mergeCell ref="E8:F8"/>
    <mergeCell ref="O9:V9"/>
    <mergeCell ref="C27:K27"/>
    <mergeCell ref="I16:J16"/>
    <mergeCell ref="W20:AD20"/>
    <mergeCell ref="O5:V5"/>
    <mergeCell ref="G18:H18"/>
    <mergeCell ref="I18:J18"/>
    <mergeCell ref="W12:AD12"/>
    <mergeCell ref="C25:K26"/>
    <mergeCell ref="W9:AD9"/>
    <mergeCell ref="O12:V12"/>
    <mergeCell ref="AG5:AG6"/>
    <mergeCell ref="G20:H20"/>
    <mergeCell ref="I20:J20"/>
    <mergeCell ref="K5:M5"/>
    <mergeCell ref="O14:V14"/>
    <mergeCell ref="K11:M11"/>
    <mergeCell ref="E12:F12"/>
    <mergeCell ref="W4:AD4"/>
    <mergeCell ref="O7:V7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E4:F4"/>
    <mergeCell ref="K8:M8"/>
    <mergeCell ref="G7:H7"/>
    <mergeCell ref="C7:D8"/>
    <mergeCell ref="I7:J7"/>
    <mergeCell ref="K14:M14"/>
    <mergeCell ref="K15:N15"/>
    <mergeCell ref="K7:M7"/>
    <mergeCell ref="K4:M4"/>
    <mergeCell ref="AG8:AG9"/>
    <mergeCell ref="I8:J8"/>
    <mergeCell ref="I17:J17"/>
    <mergeCell ref="O17:V17"/>
    <mergeCell ref="O11:V11"/>
    <mergeCell ref="C10:D11"/>
    <mergeCell ref="C16:D17"/>
    <mergeCell ref="I19:J19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O16:V16"/>
    <mergeCell ref="G15:H15"/>
    <mergeCell ref="W18:AD18"/>
    <mergeCell ref="O8:V8"/>
    <mergeCell ref="W17:AD17"/>
    <mergeCell ref="E7:F7"/>
    <mergeCell ref="W11:AD11"/>
    <mergeCell ref="G8:H8"/>
    <mergeCell ref="E17:F17"/>
    <mergeCell ref="W5:AD5"/>
    <mergeCell ref="G17:H17"/>
    <mergeCell ref="AG11:AG12"/>
    <mergeCell ref="X25:AD25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G5:H5"/>
    <mergeCell ref="O21:V21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C2:AD2" showDropDown="0" showInputMessage="1" showErrorMessage="1" allowBlank="1" prompt="To change the calendar year, go to cell P8 in About sheet"/>
    <dataValidation sqref="C5:D5" showDropDown="0" showInputMessage="1" showErrorMessage="1" allowBlank="1" prompt="Calendar days are automatically updated"/>
    <dataValidation sqref="C4:D4" showDropDown="0" showInputMessage="1" showErrorMessage="1" allowBlank="1" prompt="To change the starting day of the week, go to cell P12 in About sheet"/>
    <dataValidation sqref="C6:D6" showDropDown="0" showInputMessage="1" showErrorMessage="1" allowBlank="1" prompt="Enter daily notes below the calendar days, such as this cell"/>
    <dataValidation sqref="C25:K26" showDropDown="0" showInputMessage="1" showErrorMessage="1" allowBlank="1" prompt="Enter monthly notes in cells C24 to K28"/>
    <dataValidation sqref="O25:U25" showDropDown="0" showInputMessage="1" showErrorMessage="1" allowBlank="1" prompt="Previous month calendar"/>
    <dataValidation sqref="X25:AD25" showDropDown="0" showInputMessage="1" showErrorMessage="1" allowBlank="1" prompt="Next month calendar"/>
  </dataValidations>
  <printOptions horizontalCentered="1"/>
  <pageMargins left="0.5" right="0.5" top="0.25" bottom="0.25" header="0.25" footer="0.25"/>
  <pageSetup orientation="landscape" scale="88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6" zoomScaleNormal="100" workbookViewId="0">
      <selection activeCell="O18" sqref="O18:V18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DATE('2026'!P8,10,1)</f>
        <v/>
      </c>
      <c r="AF2" s="29" t="n"/>
      <c r="AG2" s="149" t="inlineStr">
        <is>
          <t>Away: Bottke
CBP - 2 weeks: 
Peds Inpatient: Strand
Med A: Lux &amp; Stanek
OB: Mautino</t>
        </is>
      </c>
      <c r="AK2" s="149" t="inlineStr">
        <is>
          <t>GYN/CM: Beutel &amp; Patel
NICU: Kendrick
R3 - Ortho: Johnson
R2 - Peds: 
Derm: 
Ultrasound: Gaspar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1" t="n"/>
      <c r="H6" s="202" t="n"/>
      <c r="I6" s="201" t="n"/>
      <c r="J6" s="202" t="n"/>
      <c r="K6" s="203" t="inlineStr">
        <is>
          <t>Schutt
Mudondo</t>
        </is>
      </c>
      <c r="L6" s="204" t="n"/>
      <c r="M6" s="204" t="n"/>
      <c r="N6" s="202" t="n"/>
      <c r="O6" s="203" t="inlineStr">
        <is>
          <t>Schutt
Lux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Wohlgemuth
Patel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/>
      </c>
      <c r="AI6" s="94">
        <f>COUNTIF($C$5:$AD$21,"*Oehm*")</f>
        <v/>
      </c>
      <c r="AJ6" s="94">
        <f>COUNTIF($C$5:$AD$21,"*Schutt*")</f>
        <v/>
      </c>
      <c r="AK6" s="94">
        <f>COUNTIF($C$5:$AD$21,"*Stanek*")</f>
        <v/>
      </c>
      <c r="AL6" s="94">
        <f>COUNTIF($C$5:$AD$21,"*Strand*")</f>
        <v/>
      </c>
      <c r="AM6" s="94">
        <f>COUNTIF($C$5:$AD$21,"*Wohlgemuth*")</f>
        <v/>
      </c>
      <c r="AN6" s="92">
        <f>SUM(AH6:AM6)</f>
        <v/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Hard
Sublette</t>
        </is>
      </c>
      <c r="D9" s="202" t="n"/>
      <c r="E9" s="203" t="inlineStr">
        <is>
          <t>Schutt
Lux</t>
        </is>
      </c>
      <c r="F9" s="202" t="n"/>
      <c r="G9" s="203" t="inlineStr">
        <is>
          <t>Schutt
Gaspar</t>
        </is>
      </c>
      <c r="H9" s="202" t="n"/>
      <c r="I9" s="203" t="inlineStr">
        <is>
          <t>Schutt
Sublette</t>
        </is>
      </c>
      <c r="J9" s="202" t="n"/>
      <c r="K9" s="203" t="inlineStr">
        <is>
          <t>Schutt
Lux</t>
        </is>
      </c>
      <c r="L9" s="204" t="n"/>
      <c r="M9" s="204" t="n"/>
      <c r="N9" s="202" t="n"/>
      <c r="O9" s="203" t="inlineStr">
        <is>
          <t>Schutt
Mudondo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Wohlgemuth
Gaspar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/>
      </c>
      <c r="AI9" s="94">
        <f>COUNTIF($C$5:$AD$21,"*Bottke*")</f>
        <v/>
      </c>
      <c r="AJ9" s="94">
        <f>COUNTIF($C$5:$AD$21,"*Bower*")</f>
        <v/>
      </c>
      <c r="AK9" s="94">
        <f>COUNTIF($C$5:$AD$21,"*Gaspar*")</f>
        <v/>
      </c>
      <c r="AL9" s="94">
        <f>COUNTIF($C$5:$AD$21,"*Kendrick*")</f>
        <v/>
      </c>
      <c r="AM9" s="94">
        <f>COUNTIF($C$5:$AD$21,"*Patel*")</f>
        <v/>
      </c>
      <c r="AN9" s="94">
        <f>COUNTIF($C$5:$AD$21,"*Sublette*")</f>
        <v/>
      </c>
      <c r="AO9" s="92">
        <f>SUM(AH9:AN9)</f>
        <v/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Stanek
Bower</t>
        </is>
      </c>
      <c r="D12" s="202" t="n"/>
      <c r="E12" s="203" t="inlineStr">
        <is>
          <t>Wohlgemuth
Lux</t>
        </is>
      </c>
      <c r="F12" s="202" t="n"/>
      <c r="G12" s="203" t="inlineStr">
        <is>
          <t>Wohlgemuth
Gaspar</t>
        </is>
      </c>
      <c r="H12" s="202" t="n"/>
      <c r="I12" s="203" t="inlineStr">
        <is>
          <t>Wohlgemuth
Bower</t>
        </is>
      </c>
      <c r="J12" s="202" t="n"/>
      <c r="K12" s="203" t="inlineStr">
        <is>
          <t>Wohlgemuth
Lux</t>
        </is>
      </c>
      <c r="L12" s="204" t="n"/>
      <c r="M12" s="204" t="n"/>
      <c r="N12" s="202" t="n"/>
      <c r="O12" s="203" t="inlineStr">
        <is>
          <t>Wohlgemuth
Sublette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Stanek
Bower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/>
      </c>
      <c r="AI12" s="94">
        <f>COUNTIF($C$5:$AD$21,"*Lux*")</f>
        <v/>
      </c>
      <c r="AJ12" s="94">
        <f>COUNTIF($C$5:$AD$21,"*Mautino*")</f>
        <v/>
      </c>
      <c r="AK12" s="94">
        <f>COUNTIF($C$5:$AD$21,"*Mudondo*")</f>
        <v/>
      </c>
      <c r="AL12" s="84">
        <f>SUM(AH12:AK12)</f>
        <v/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Hard
Sublette</t>
        </is>
      </c>
      <c r="D15" s="202" t="n"/>
      <c r="E15" s="203" t="inlineStr">
        <is>
          <t>Wohlgemuth
Johnson</t>
        </is>
      </c>
      <c r="F15" s="202" t="n"/>
      <c r="G15" s="203" t="inlineStr">
        <is>
          <t>Wohlgemuth
Mautino</t>
        </is>
      </c>
      <c r="H15" s="202" t="n"/>
      <c r="I15" s="203" t="inlineStr">
        <is>
          <t>Wohlgemuth
Mudondo</t>
        </is>
      </c>
      <c r="J15" s="202" t="n"/>
      <c r="K15" s="203" t="inlineStr">
        <is>
          <t>Wohlgemuth
Gaspar</t>
        </is>
      </c>
      <c r="L15" s="204" t="n"/>
      <c r="M15" s="204" t="n"/>
      <c r="N15" s="202" t="n"/>
      <c r="O15" s="203" t="inlineStr">
        <is>
          <t>Wohlgemuth
Lux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Oehm
Beutel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45" t="n"/>
      <c r="J16" s="46" t="n"/>
      <c r="K16" s="45" t="n"/>
      <c r="L16" s="47" t="n"/>
      <c r="M16" s="47" t="n"/>
      <c r="N16" s="46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N17" s="210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26" t="inlineStr">
        <is>
          <t>Schutt
Sublette</t>
        </is>
      </c>
      <c r="D18" s="202" t="n"/>
      <c r="E18" s="203" t="inlineStr">
        <is>
          <t>Oehm
Beutel</t>
        </is>
      </c>
      <c r="F18" s="202" t="n"/>
      <c r="G18" s="203" t="inlineStr">
        <is>
          <t>Oehm
Gaspar</t>
        </is>
      </c>
      <c r="H18" s="202" t="n"/>
      <c r="I18" s="203" t="inlineStr">
        <is>
          <t>Oehm
Kendrick</t>
        </is>
      </c>
      <c r="J18" s="202" t="n"/>
      <c r="K18" s="131" t="inlineStr">
        <is>
          <t>Oehm
Bottke</t>
        </is>
      </c>
      <c r="L18" s="204" t="n"/>
      <c r="M18" s="204" t="n"/>
      <c r="N18" s="128" t="n"/>
      <c r="O18" s="203" t="inlineStr">
        <is>
          <t>Oehm
Johnson</t>
        </is>
      </c>
      <c r="P18" s="204" t="n"/>
      <c r="Q18" s="204" t="n"/>
      <c r="R18" s="204" t="n"/>
      <c r="S18" s="204" t="n"/>
      <c r="T18" s="204" t="n"/>
      <c r="U18" s="204" t="n"/>
      <c r="V18" s="202" t="n"/>
      <c r="W18" s="203" t="inlineStr">
        <is>
          <t>Hard
Bower</t>
        </is>
      </c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45" t="n"/>
      <c r="J19" s="46" t="n"/>
      <c r="K19" s="45" t="n"/>
      <c r="L19" s="47" t="n"/>
      <c r="M19" s="47" t="n"/>
      <c r="N19" s="46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N20" s="210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126" t="n"/>
      <c r="L21" s="204" t="n"/>
      <c r="M21" s="204" t="n"/>
      <c r="N21" s="128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>
      <c r="A32" s="1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O33" s="216" t="n"/>
      <c r="P33" s="217" t="n"/>
      <c r="Q33" s="217" t="n"/>
      <c r="R33" s="217" t="n"/>
      <c r="S33" s="217" t="n"/>
      <c r="T33" s="217" t="n"/>
      <c r="U33" s="216" t="n"/>
      <c r="V33" s="59" t="n"/>
      <c r="W33" s="59" t="n"/>
      <c r="X33" s="216" t="n"/>
      <c r="Y33" s="217" t="n"/>
      <c r="Z33" s="217" t="n"/>
      <c r="AA33" s="217" t="n"/>
      <c r="AB33" s="217" t="n"/>
      <c r="AC33" s="217" t="n"/>
      <c r="AD33" s="217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/>
      </c>
      <c r="F38" s="104">
        <f>COUNTIF($I$5:$N$21,"*Hard*")</f>
        <v/>
      </c>
      <c r="G38" s="104">
        <f>COUNTIF($O$5:$V$21,"*Hard*")</f>
        <v/>
      </c>
      <c r="H38" s="104">
        <f>COUNTIF($C$5:$D$21,"*Hard*")</f>
        <v/>
      </c>
      <c r="I38" s="104">
        <f>COUNTIF($W$5:$AD$21,"*Hard*")</f>
        <v/>
      </c>
    </row>
    <row r="39">
      <c r="D39" s="101" t="inlineStr">
        <is>
          <t>Oehm</t>
        </is>
      </c>
      <c r="E39" s="104">
        <f>COUNTIF($E$5:$H$21,"*Oehm*")</f>
        <v/>
      </c>
      <c r="F39" s="104">
        <f>COUNTIF($I$5:$N$21,"*Oehm*")</f>
        <v/>
      </c>
      <c r="G39" s="104">
        <f>COUNTIF($O$5:$V$21,"*Oehm*")</f>
        <v/>
      </c>
      <c r="H39" s="104">
        <f>COUNTIF($C$5:$D$21,"*Oehm*")</f>
        <v/>
      </c>
      <c r="I39" s="104">
        <f>COUNTIF($W$5:$AD$21,"*Oehm*")</f>
        <v/>
      </c>
    </row>
    <row r="40">
      <c r="D40" s="101" t="inlineStr">
        <is>
          <t>Schutt</t>
        </is>
      </c>
      <c r="E40" s="104">
        <f>COUNTIF($E$5:$H$21,"*Schutt*")</f>
        <v/>
      </c>
      <c r="F40" s="104">
        <f>COUNTIF($I$5:$N$21,"*Schutt*")</f>
        <v/>
      </c>
      <c r="G40" s="104">
        <f>COUNTIF($O$5:$V$21,"*Schutt*")</f>
        <v/>
      </c>
      <c r="H40" s="104">
        <f>COUNTIF($C$5:$D$21,"*Schutt*")</f>
        <v/>
      </c>
      <c r="I40" s="104">
        <f>COUNTIF($W$5:$AD$21,"*Schutt*")</f>
        <v/>
      </c>
    </row>
    <row r="41">
      <c r="D41" s="101" t="inlineStr">
        <is>
          <t>Stanek</t>
        </is>
      </c>
      <c r="E41" s="104">
        <f>COUNTIF($E$5:$H$21,"*Stanek*")</f>
        <v/>
      </c>
      <c r="F41" s="104">
        <f>COUNTIF($I$5:$N$21,"*Stanek*")</f>
        <v/>
      </c>
      <c r="G41" s="104">
        <f>COUNTIF($O$5:$V$21,"*Stanek*")</f>
        <v/>
      </c>
      <c r="H41" s="104">
        <f>COUNTIF($C$5:$D$21,"*Stanek*")</f>
        <v/>
      </c>
      <c r="I41" s="104">
        <f>COUNTIF($W$5:$AD$21,"*Stanek*")</f>
        <v/>
      </c>
    </row>
    <row r="42">
      <c r="D42" s="101" t="inlineStr">
        <is>
          <t>Strand</t>
        </is>
      </c>
      <c r="E42" s="104">
        <f>COUNTIF($E$5:$H$21,"*Strand*")</f>
        <v/>
      </c>
      <c r="F42" s="104">
        <f>COUNTIF($I$5:$N$21,"*Strand*")</f>
        <v/>
      </c>
      <c r="G42" s="104">
        <f>COUNTIF($O$5:$V$21,"*Strand*")</f>
        <v/>
      </c>
      <c r="H42" s="104">
        <f>COUNTIF($C$5:$D$21,"*Strand*")</f>
        <v/>
      </c>
      <c r="I42" s="104">
        <f>COUNTIF($W$5:$AD$21,"*Strand*")</f>
        <v/>
      </c>
    </row>
    <row r="43">
      <c r="D43" s="101" t="inlineStr">
        <is>
          <t>Wohlgemuth</t>
        </is>
      </c>
      <c r="E43" s="104">
        <f>COUNTIF($E$5:$H$21,"*Wohlgemuth*")</f>
        <v/>
      </c>
      <c r="F43" s="104">
        <f>COUNTIF($I$5:$N$21,"*Wohlgemuth*")</f>
        <v/>
      </c>
      <c r="G43" s="104">
        <f>COUNTIF($O$5:$V$21,"*Wohlgemuth*")</f>
        <v/>
      </c>
      <c r="H43" s="104">
        <f>COUNTIF($C$5:$D$21,"*Wohlgemuth*")</f>
        <v/>
      </c>
      <c r="I43" s="104">
        <f>COUNTIF($W$5:$AD$21,"*Wohlgemuth*")</f>
        <v/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/>
      </c>
      <c r="F45" s="106">
        <f>COUNTIF($I$5:$N$21,"*Beutel*")</f>
        <v/>
      </c>
      <c r="G45" s="106">
        <f>COUNTIF($O$5:$V$21,"*Beutel*")</f>
        <v/>
      </c>
      <c r="H45" s="106">
        <f>COUNTIF($C$5:$D$21,"*Beutel*")</f>
        <v/>
      </c>
      <c r="I45" s="106">
        <f>COUNTIF($W$5:$AD$21,"*Beutel*")</f>
        <v/>
      </c>
    </row>
    <row r="46">
      <c r="D46" s="102" t="inlineStr">
        <is>
          <t>Bottke</t>
        </is>
      </c>
      <c r="E46" s="106">
        <f>COUNTIF($E$5:$H$21,"*Bottke*")</f>
        <v/>
      </c>
      <c r="F46" s="106">
        <f>COUNTIF($I$5:$N$21,"*Bottke*")</f>
        <v/>
      </c>
      <c r="G46" s="106">
        <f>COUNTIF($O$5:$V$21,"*Bottke*")</f>
        <v/>
      </c>
      <c r="H46" s="106">
        <f>COUNTIF($C$5:$D$21,"*Bottke*")</f>
        <v/>
      </c>
      <c r="I46" s="106">
        <f>COUNTIF($W$5:$AD$21,"*Bottke*")</f>
        <v/>
      </c>
    </row>
    <row r="47">
      <c r="D47" s="102" t="inlineStr">
        <is>
          <t>Bower</t>
        </is>
      </c>
      <c r="E47" s="106">
        <f>COUNTIF($E$5:$H$21,"*Bower*")</f>
        <v/>
      </c>
      <c r="F47" s="106">
        <f>COUNTIF($I$5:$N$21,"*Bower*")</f>
        <v/>
      </c>
      <c r="G47" s="106">
        <f>COUNTIF($O$5:$V$21,"*Bower*")</f>
        <v/>
      </c>
      <c r="H47" s="106">
        <f>COUNTIF($C$5:$D$21,"*Bower*")</f>
        <v/>
      </c>
      <c r="I47" s="106">
        <f>COUNTIF($W$5:$AD$21,"*Bower*")</f>
        <v/>
      </c>
    </row>
    <row r="48">
      <c r="D48" s="102" t="inlineStr">
        <is>
          <t>Gaspar</t>
        </is>
      </c>
      <c r="E48" s="106">
        <f>COUNTIF($E$5:$H$21,"*Gaspar*")</f>
        <v/>
      </c>
      <c r="F48" s="106">
        <f>COUNTIF($I$5:$N$21,"*Gaspar*")</f>
        <v/>
      </c>
      <c r="G48" s="106">
        <f>COUNTIF($O$5:$V$21,"*Gaspar*")</f>
        <v/>
      </c>
      <c r="H48" s="106">
        <f>COUNTIF($C$5:$D$21,"*Gaspar*")</f>
        <v/>
      </c>
      <c r="I48" s="106">
        <f>COUNTIF($W$5:$AD$21,"*Gaspar*")</f>
        <v/>
      </c>
    </row>
    <row r="49">
      <c r="D49" s="102" t="inlineStr">
        <is>
          <t>Kendrick</t>
        </is>
      </c>
      <c r="E49" s="106">
        <f>COUNTIF($E$5:$H$21,"*Kendrick*")</f>
        <v/>
      </c>
      <c r="F49" s="106">
        <f>COUNTIF($I$5:$N$21,"*Kendrick*")</f>
        <v/>
      </c>
      <c r="G49" s="106">
        <f>COUNTIF($O$5:$V$21,"*Kendrick*")</f>
        <v/>
      </c>
      <c r="H49" s="106">
        <f>COUNTIF($C$5:$D$21,"*Kendrick*")</f>
        <v/>
      </c>
      <c r="I49" s="106">
        <f>COUNTIF($W$5:$AD$21,"*Kendrick*")</f>
        <v/>
      </c>
    </row>
    <row r="50">
      <c r="D50" s="102" t="inlineStr">
        <is>
          <t>Patel</t>
        </is>
      </c>
      <c r="E50" s="106">
        <f>COUNTIF($E$5:$H$21,"*Patel*")</f>
        <v/>
      </c>
      <c r="F50" s="106">
        <f>COUNTIF($I$5:$N$21,"*Patel*")</f>
        <v/>
      </c>
      <c r="G50" s="106">
        <f>COUNTIF($O$5:$V$21,"*Patel*")</f>
        <v/>
      </c>
      <c r="H50" s="106">
        <f>COUNTIF($C$5:$D$21,"*Patel*")</f>
        <v/>
      </c>
      <c r="I50" s="106">
        <f>COUNTIF($W$5:$AD$21,"*Patel*")</f>
        <v/>
      </c>
    </row>
    <row r="51">
      <c r="D51" s="102" t="inlineStr">
        <is>
          <t>Sublette</t>
        </is>
      </c>
      <c r="E51" s="106">
        <f>COUNTIF($E$5:$H$21,"*Sublette*")</f>
        <v/>
      </c>
      <c r="F51" s="106">
        <f>COUNTIF($I$5:$N$21,"*Sublette*")</f>
        <v/>
      </c>
      <c r="G51" s="106">
        <f>COUNTIF($O$5:$V$21,"*Sublette*")</f>
        <v/>
      </c>
      <c r="H51" s="106">
        <f>COUNTIF($C$5:$D$21,"*Sublette*")</f>
        <v/>
      </c>
      <c r="I51" s="106">
        <f>COUNTIF($W$5:$AD$21,"*Sublette*")</f>
        <v/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/>
      </c>
      <c r="F53" s="107">
        <f>COUNTIF($I$5:$N$21,"*Johnson*")</f>
        <v/>
      </c>
      <c r="G53" s="107">
        <f>COUNTIF($O$5:$V$21,"*Johnson*")</f>
        <v/>
      </c>
      <c r="H53" s="107">
        <f>COUNTIF($C$5:$D$21,"*Johnson*")</f>
        <v/>
      </c>
      <c r="I53" s="107">
        <f>COUNTIF($W$5:$AD$21,"*Johnson*")</f>
        <v/>
      </c>
    </row>
    <row r="54">
      <c r="D54" s="103" t="inlineStr">
        <is>
          <t>Lux</t>
        </is>
      </c>
      <c r="E54" s="107">
        <f>COUNTIF($E$5:$H$21,"*Lux*")</f>
        <v/>
      </c>
      <c r="F54" s="107">
        <f>COUNTIF($I$5:$N$21,"*Lux*")</f>
        <v/>
      </c>
      <c r="G54" s="107">
        <f>COUNTIF($O$5:$V$21,"*Lux*")</f>
        <v/>
      </c>
      <c r="H54" s="107">
        <f>COUNTIF($C$5:$D$21,"*Lux*")</f>
        <v/>
      </c>
      <c r="I54" s="107">
        <f>COUNTIF($W$5:$AD$21,"*Lux*")</f>
        <v/>
      </c>
    </row>
    <row r="55">
      <c r="D55" s="103" t="inlineStr">
        <is>
          <t>Mautino</t>
        </is>
      </c>
      <c r="E55" s="107">
        <f>COUNTIF($E$5:$H$21,"*Mautino*")</f>
        <v/>
      </c>
      <c r="F55" s="107">
        <f>COUNTIF($I$5:$N$21,"*Mautino*")</f>
        <v/>
      </c>
      <c r="G55" s="107">
        <f>COUNTIF($O$5:$V$21,"*Mautino*")</f>
        <v/>
      </c>
      <c r="H55" s="107">
        <f>COUNTIF($C$5:$D$21,"*Mautino*")</f>
        <v/>
      </c>
      <c r="I55" s="107">
        <f>COUNTIF($W$5:$AD$21,"*Mautino*")</f>
        <v/>
      </c>
    </row>
    <row r="56">
      <c r="D56" s="103" t="inlineStr">
        <is>
          <t>Mudondo</t>
        </is>
      </c>
      <c r="E56" s="107">
        <f>COUNTIF($E$5:$H$21,"*Mudondo*")</f>
        <v/>
      </c>
      <c r="F56" s="107">
        <f>COUNTIF($I$5:$N$21,"*Mudondo*")</f>
        <v/>
      </c>
      <c r="G56" s="107">
        <f>COUNTIF($O$5:$V$21,"*Mudondo*")</f>
        <v/>
      </c>
      <c r="H56" s="107">
        <f>COUNTIF($C$5:$D$21,"*Mudondo*")</f>
        <v/>
      </c>
      <c r="I56" s="107">
        <f>COUNTIF($W$5:$AD$21,"*Mudondo*")</f>
        <v/>
      </c>
    </row>
    <row r="57">
      <c r="E57" s="95">
        <f>SUM(E38:E56)</f>
        <v/>
      </c>
      <c r="F57" s="95">
        <f>SUM(F38:F56)</f>
        <v/>
      </c>
      <c r="G57" s="95">
        <f>SUM(G38:G56)</f>
        <v/>
      </c>
      <c r="H57" s="95">
        <f>SUM(H38:H56)</f>
        <v/>
      </c>
      <c r="I57" s="95">
        <f>SUM(I38:I56)</f>
        <v/>
      </c>
    </row>
  </sheetData>
  <mergeCells count="113">
    <mergeCell ref="G21:H21"/>
    <mergeCell ref="C6:D6"/>
    <mergeCell ref="C15:D15"/>
    <mergeCell ref="E8:F8"/>
    <mergeCell ref="O9:V9"/>
    <mergeCell ref="C27:K27"/>
    <mergeCell ref="W20:AD20"/>
    <mergeCell ref="O5:V5"/>
    <mergeCell ref="K17:M17"/>
    <mergeCell ref="G18:H18"/>
    <mergeCell ref="I18:J18"/>
    <mergeCell ref="W12:AD12"/>
    <mergeCell ref="C25:K26"/>
    <mergeCell ref="W9:AD9"/>
    <mergeCell ref="O12:V12"/>
    <mergeCell ref="AG5:AG6"/>
    <mergeCell ref="G20:H20"/>
    <mergeCell ref="I20:J20"/>
    <mergeCell ref="K5:M5"/>
    <mergeCell ref="O14:V14"/>
    <mergeCell ref="K20:M20"/>
    <mergeCell ref="K11:M11"/>
    <mergeCell ref="E12:F12"/>
    <mergeCell ref="W4:AD4"/>
    <mergeCell ref="O7:V7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E4:F4"/>
    <mergeCell ref="K8:M8"/>
    <mergeCell ref="G7:H7"/>
    <mergeCell ref="C7:D8"/>
    <mergeCell ref="I7:J7"/>
    <mergeCell ref="K14:M14"/>
    <mergeCell ref="K15:N15"/>
    <mergeCell ref="K7:M7"/>
    <mergeCell ref="K4:M4"/>
    <mergeCell ref="AG8:AG9"/>
    <mergeCell ref="K18:M18"/>
    <mergeCell ref="I8:J8"/>
    <mergeCell ref="I17:J17"/>
    <mergeCell ref="O17:V17"/>
    <mergeCell ref="O11:V11"/>
    <mergeCell ref="C10:D11"/>
    <mergeCell ref="C16:D17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K21:M21"/>
    <mergeCell ref="G8:H8"/>
    <mergeCell ref="E17:F17"/>
    <mergeCell ref="W5:AD5"/>
    <mergeCell ref="G17:H17"/>
    <mergeCell ref="AG11:AG12"/>
    <mergeCell ref="X25:AD25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O21:V21"/>
    <mergeCell ref="G5:H5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X25:AD25" showDropDown="0" showInputMessage="1" showErrorMessage="1" allowBlank="1" prompt="Next month calendar"/>
    <dataValidation sqref="O25:U25" showDropDown="0" showInputMessage="1" showErrorMessage="1" allowBlank="1" prompt="Previous month calendar"/>
    <dataValidation sqref="C25:K26" showDropDown="0" showInputMessage="1" showErrorMessage="1" allowBlank="1" prompt="Enter monthly notes in cells C24 to K28"/>
    <dataValidation sqref="C6:D6" showDropDown="0" showInputMessage="1" showErrorMessage="1" allowBlank="1" prompt="Enter daily notes below the calendar days, such as this cell"/>
    <dataValidation sqref="C4:D4" showDropDown="0" showInputMessage="1" showErrorMessage="1" allowBlank="1" prompt="To change the starting day of the week, go to cell P12 in About sheet"/>
    <dataValidation sqref="C5:D5" showDropDown="0" showInputMessage="1" showErrorMessage="1" allowBlank="1" prompt="Calendar days are automatically updated"/>
    <dataValidation sqref="C2:AD2" showDropDown="0" showInputMessage="1" showErrorMessage="1" allowBlank="1" prompt="To change the calendar year, go to cell P8 in About sheet"/>
  </dataValidations>
  <printOptions horizontalCentered="1"/>
  <pageMargins left="0.5" right="0.5" top="0.25" bottom="0.25" header="0.25" footer="0.25"/>
  <pageSetup orientation="landscape" scale="88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4" zoomScaleNormal="100" workbookViewId="0">
      <selection activeCell="AK2" sqref="AK2:AN2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DATE('2026'!P8,11,1)</f>
        <v/>
      </c>
      <c r="AF2" s="29" t="n"/>
      <c r="AG2" s="149" t="inlineStr">
        <is>
          <t>Away: Mautino
CBP - 2 weeks: Mudondo
Peds Inpatient: Wohlgemuth
Med A: Johnson &amp; Schutt
OB: Sublette &amp; Bower</t>
        </is>
      </c>
      <c r="AK2" s="149" t="inlineStr">
        <is>
          <t>GYN/CM: Bottke
NICU: 
R3 - Ortho: 
R2 - Peds: Gaspar
Derm: 
Ultrasound: Beutel &amp; Sublette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3" t="inlineStr">
        <is>
          <t>Stanek
Kendrick</t>
        </is>
      </c>
      <c r="D6" s="202" t="n"/>
      <c r="E6" s="203" t="inlineStr">
        <is>
          <t>Oehm
Patel</t>
        </is>
      </c>
      <c r="F6" s="202" t="n"/>
      <c r="G6" s="203" t="inlineStr">
        <is>
          <t>Oehm
Johnson</t>
        </is>
      </c>
      <c r="H6" s="202" t="n"/>
      <c r="I6" s="203" t="inlineStr">
        <is>
          <t>Oehm
Patel</t>
        </is>
      </c>
      <c r="J6" s="202" t="n"/>
      <c r="K6" s="203" t="inlineStr">
        <is>
          <t>Oehm
Bower</t>
        </is>
      </c>
      <c r="L6" s="204" t="n"/>
      <c r="M6" s="204" t="n"/>
      <c r="N6" s="202" t="n"/>
      <c r="O6" s="203" t="inlineStr">
        <is>
          <t>Oehm
Johnson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Schutt
Kendrick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/>
      </c>
      <c r="AI6" s="94">
        <f>COUNTIF($C$5:$AD$21,"*Oehm*")</f>
        <v/>
      </c>
      <c r="AJ6" s="94">
        <f>COUNTIF($C$5:$AD$21,"*Schutt*")</f>
        <v/>
      </c>
      <c r="AK6" s="94">
        <f>COUNTIF($C$5:$AD$21,"*Stanek*")</f>
        <v/>
      </c>
      <c r="AL6" s="94">
        <f>COUNTIF($C$5:$AD$21,"*Strand*")</f>
        <v/>
      </c>
      <c r="AM6" s="94">
        <f>COUNTIF($C$5:$AD$21,"*Wohlgemuth*")</f>
        <v/>
      </c>
      <c r="AN6" s="92">
        <f>SUM(AH6:AM6)</f>
        <v/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Oehm
Gaspar</t>
        </is>
      </c>
      <c r="D9" s="202" t="n"/>
      <c r="E9" s="203" t="inlineStr">
        <is>
          <t>Hard
Johnson</t>
        </is>
      </c>
      <c r="F9" s="202" t="n"/>
      <c r="G9" s="203" t="inlineStr">
        <is>
          <t>Hard
Patel</t>
        </is>
      </c>
      <c r="H9" s="202" t="n"/>
      <c r="I9" s="203" t="inlineStr">
        <is>
          <t>Hard
Kendrick</t>
        </is>
      </c>
      <c r="J9" s="202" t="n"/>
      <c r="K9" s="203" t="inlineStr">
        <is>
          <t>Hard
Bower</t>
        </is>
      </c>
      <c r="L9" s="204" t="n"/>
      <c r="M9" s="204" t="n"/>
      <c r="N9" s="202" t="n"/>
      <c r="O9" s="203" t="inlineStr">
        <is>
          <t>Hard
Lux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Oehm
Kendrick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/>
      </c>
      <c r="AI9" s="94">
        <f>COUNTIF($C$5:$AD$21,"*Bottke*")</f>
        <v/>
      </c>
      <c r="AJ9" s="94">
        <f>COUNTIF($C$5:$AD$21,"*Bower*")</f>
        <v/>
      </c>
      <c r="AK9" s="94">
        <f>COUNTIF($C$5:$AD$21,"*Gaspar*")</f>
        <v/>
      </c>
      <c r="AL9" s="94">
        <f>COUNTIF($C$5:$AD$21,"*Kendrick*")</f>
        <v/>
      </c>
      <c r="AM9" s="94">
        <f>COUNTIF($C$5:$AD$21,"*Patel*")</f>
        <v/>
      </c>
      <c r="AN9" s="94">
        <f>COUNTIF($C$5:$AD$21,"*Sublette*")</f>
        <v/>
      </c>
      <c r="AO9" s="92">
        <f>SUM(AH9:AN9)</f>
        <v/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Strand
Beutel</t>
        </is>
      </c>
      <c r="D12" s="202" t="n"/>
      <c r="E12" s="203" t="inlineStr">
        <is>
          <t>Hard
Johnson</t>
        </is>
      </c>
      <c r="F12" s="202" t="n"/>
      <c r="G12" s="203" t="inlineStr">
        <is>
          <t>Hard
Bottke</t>
        </is>
      </c>
      <c r="H12" s="202" t="n"/>
      <c r="I12" s="203" t="inlineStr">
        <is>
          <t>Hard
Beutel</t>
        </is>
      </c>
      <c r="J12" s="202" t="n"/>
      <c r="K12" s="203" t="inlineStr">
        <is>
          <t>Hard
Bottke</t>
        </is>
      </c>
      <c r="L12" s="204" t="n"/>
      <c r="M12" s="204" t="n"/>
      <c r="N12" s="202" t="n"/>
      <c r="O12" s="203" t="inlineStr">
        <is>
          <t>Hard
Lux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Strand
Beutel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/>
      </c>
      <c r="AI12" s="94">
        <f>COUNTIF($C$5:$AD$21,"*Lux*")</f>
        <v/>
      </c>
      <c r="AJ12" s="94">
        <f>COUNTIF($C$5:$AD$21,"*Mautino*")</f>
        <v/>
      </c>
      <c r="AK12" s="94">
        <f>COUNTIF($C$5:$AD$21,"*Mudondo*")</f>
        <v/>
      </c>
      <c r="AL12" s="84">
        <f>SUM(AH12:AK12)</f>
        <v/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62" t="n"/>
      <c r="L13" s="114" t="n"/>
      <c r="M13" s="114" t="n"/>
      <c r="N13" s="163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27">
        <f>I14+1</f>
        <v/>
      </c>
      <c r="N14" s="228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29" t="inlineStr">
        <is>
          <t>Schutt
Bottke</t>
        </is>
      </c>
      <c r="D15" s="202" t="n"/>
      <c r="E15" s="203" t="inlineStr">
        <is>
          <t>Stanek
Mautino</t>
        </is>
      </c>
      <c r="F15" s="202" t="n"/>
      <c r="G15" s="203" t="inlineStr">
        <is>
          <t>Stanek
Lux</t>
        </is>
      </c>
      <c r="H15" s="202" t="n"/>
      <c r="I15" s="203" t="inlineStr">
        <is>
          <t>Stanek
Bottke</t>
        </is>
      </c>
      <c r="J15" s="202" t="n"/>
      <c r="K15" s="230" t="inlineStr">
        <is>
          <t>Stanek
Beutel</t>
        </is>
      </c>
      <c r="L15" s="204" t="n"/>
      <c r="M15" s="204" t="n"/>
      <c r="N15" s="202" t="n"/>
      <c r="O15" s="230" t="inlineStr">
        <is>
          <t>Stanek
Lux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30" t="inlineStr">
        <is>
          <t>Wohlgemuth
Bottke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211" t="n"/>
      <c r="J16" s="212" t="n"/>
      <c r="K16" s="124" t="n"/>
      <c r="L16" s="161" t="n"/>
      <c r="M16" s="161" t="n"/>
      <c r="N16" s="125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8">
        <f>I17+1</f>
        <v/>
      </c>
      <c r="N17" s="197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31" t="inlineStr">
        <is>
          <t>Schutt
Bower</t>
        </is>
      </c>
      <c r="D18" s="202" t="n"/>
      <c r="E18" s="203" t="inlineStr">
        <is>
          <t>Stanek
Bottke</t>
        </is>
      </c>
      <c r="F18" s="202" t="n"/>
      <c r="G18" s="201" t="n"/>
      <c r="H18" s="202" t="n"/>
      <c r="I18" s="201" t="n"/>
      <c r="J18" s="202" t="n"/>
      <c r="K18" s="201" t="n"/>
      <c r="L18" s="204" t="n"/>
      <c r="M18" s="204" t="n"/>
      <c r="N18" s="202" t="n"/>
      <c r="O18" s="201" t="n"/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211" t="n"/>
      <c r="J19" s="212" t="n"/>
      <c r="K19" s="124" t="n"/>
      <c r="L19" s="161" t="n"/>
      <c r="M19" s="161" t="n"/>
      <c r="N19" s="125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8">
        <f>I20+1</f>
        <v/>
      </c>
      <c r="N20" s="197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201" t="n"/>
      <c r="L21" s="204" t="n"/>
      <c r="M21" s="204" t="n"/>
      <c r="N21" s="202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 ht="15" customHeight="1">
      <c r="A32" s="1" t="n"/>
      <c r="C32" s="122" t="n"/>
      <c r="D32" s="122" t="n"/>
      <c r="E32" s="122" t="n"/>
      <c r="F32" s="122" t="n"/>
      <c r="G32" s="122" t="n"/>
      <c r="H32" s="122" t="n"/>
      <c r="I32" s="122" t="n"/>
      <c r="J32" s="122" t="n"/>
      <c r="K32" s="122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/>
      </c>
      <c r="F38" s="104">
        <f>COUNTIF($I$5:$N$21,"*Hard*")</f>
        <v/>
      </c>
      <c r="G38" s="104">
        <f>COUNTIF($O$5:$V$21,"*Hard*")</f>
        <v/>
      </c>
      <c r="H38" s="104">
        <f>COUNTIF($C$5:$D$21,"*Hard*")</f>
        <v/>
      </c>
      <c r="I38" s="104">
        <f>COUNTIF($W$5:$AD$21,"*Hard*")</f>
        <v/>
      </c>
    </row>
    <row r="39">
      <c r="D39" s="101" t="inlineStr">
        <is>
          <t>Oehm</t>
        </is>
      </c>
      <c r="E39" s="104">
        <f>COUNTIF($E$5:$H$21,"*Oehm*")</f>
        <v/>
      </c>
      <c r="F39" s="104">
        <f>COUNTIF($I$5:$N$21,"*Oehm*")</f>
        <v/>
      </c>
      <c r="G39" s="104">
        <f>COUNTIF($O$5:$V$21,"*Oehm*")</f>
        <v/>
      </c>
      <c r="H39" s="104">
        <f>COUNTIF($C$5:$D$21,"*Oehm*")</f>
        <v/>
      </c>
      <c r="I39" s="104">
        <f>COUNTIF($W$5:$AD$21,"*Oehm*")</f>
        <v/>
      </c>
    </row>
    <row r="40">
      <c r="D40" s="101" t="inlineStr">
        <is>
          <t>Schutt</t>
        </is>
      </c>
      <c r="E40" s="104">
        <f>COUNTIF($E$5:$H$21,"*Schutt*")</f>
        <v/>
      </c>
      <c r="F40" s="104">
        <f>COUNTIF($I$5:$N$21,"*Schutt*")</f>
        <v/>
      </c>
      <c r="G40" s="104">
        <f>COUNTIF($O$5:$V$21,"*Schutt*")</f>
        <v/>
      </c>
      <c r="H40" s="104">
        <f>COUNTIF($C$5:$D$21,"*Schutt*")</f>
        <v/>
      </c>
      <c r="I40" s="104">
        <f>COUNTIF($W$5:$AD$21,"*Schutt*")</f>
        <v/>
      </c>
    </row>
    <row r="41">
      <c r="D41" s="101" t="inlineStr">
        <is>
          <t>Stanek</t>
        </is>
      </c>
      <c r="E41" s="104">
        <f>COUNTIF($E$5:$H$21,"*Stanek*")</f>
        <v/>
      </c>
      <c r="F41" s="104">
        <f>COUNTIF($I$5:$N$21,"*Stanek*")</f>
        <v/>
      </c>
      <c r="G41" s="104">
        <f>COUNTIF($O$5:$V$21,"*Stanek*")</f>
        <v/>
      </c>
      <c r="H41" s="104">
        <f>COUNTIF($C$5:$D$21,"*Stanek*")</f>
        <v/>
      </c>
      <c r="I41" s="104">
        <f>COUNTIF($W$5:$AD$21,"*Stanek*")</f>
        <v/>
      </c>
    </row>
    <row r="42">
      <c r="D42" s="101" t="inlineStr">
        <is>
          <t>Strand</t>
        </is>
      </c>
      <c r="E42" s="104">
        <f>COUNTIF($E$5:$H$21,"*Strand*")</f>
        <v/>
      </c>
      <c r="F42" s="104">
        <f>COUNTIF($I$5:$N$21,"*Strand*")</f>
        <v/>
      </c>
      <c r="G42" s="104">
        <f>COUNTIF($O$5:$V$21,"*Strand*")</f>
        <v/>
      </c>
      <c r="H42" s="104">
        <f>COUNTIF($C$5:$D$21,"*Strand*")</f>
        <v/>
      </c>
      <c r="I42" s="104">
        <f>COUNTIF($W$5:$AD$21,"*Strand*")</f>
        <v/>
      </c>
    </row>
    <row r="43">
      <c r="D43" s="101" t="inlineStr">
        <is>
          <t>Wohlgemuth</t>
        </is>
      </c>
      <c r="E43" s="104">
        <f>COUNTIF($E$5:$H$21,"*Wohlgemuth*")</f>
        <v/>
      </c>
      <c r="F43" s="104">
        <f>COUNTIF($I$5:$N$21,"*Wohlgemuth*")</f>
        <v/>
      </c>
      <c r="G43" s="104">
        <f>COUNTIF($O$5:$V$21,"*Wohlgemuth*")</f>
        <v/>
      </c>
      <c r="H43" s="104">
        <f>COUNTIF($C$5:$D$21,"*Wohlgemuth*")</f>
        <v/>
      </c>
      <c r="I43" s="104">
        <f>COUNTIF($W$5:$AD$21,"*Wohlgemuth*")</f>
        <v/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/>
      </c>
      <c r="F45" s="106">
        <f>COUNTIF($I$5:$N$21,"*Beutel*")</f>
        <v/>
      </c>
      <c r="G45" s="106">
        <f>COUNTIF($O$5:$V$21,"*Beutel*")</f>
        <v/>
      </c>
      <c r="H45" s="106">
        <f>COUNTIF($C$5:$D$21,"*Beutel*")</f>
        <v/>
      </c>
      <c r="I45" s="106">
        <f>COUNTIF($W$5:$AD$21,"*Beutel*")</f>
        <v/>
      </c>
    </row>
    <row r="46">
      <c r="D46" s="102" t="inlineStr">
        <is>
          <t>Bottke</t>
        </is>
      </c>
      <c r="E46" s="106">
        <f>COUNTIF($E$5:$H$21,"*Bottke*")</f>
        <v/>
      </c>
      <c r="F46" s="106">
        <f>COUNTIF($I$5:$N$21,"*Bottke*")</f>
        <v/>
      </c>
      <c r="G46" s="106">
        <f>COUNTIF($O$5:$V$21,"*Bottke*")</f>
        <v/>
      </c>
      <c r="H46" s="106">
        <f>COUNTIF($C$5:$D$21,"*Bottke*")</f>
        <v/>
      </c>
      <c r="I46" s="106">
        <f>COUNTIF($W$5:$AD$21,"*Bottke*")</f>
        <v/>
      </c>
    </row>
    <row r="47">
      <c r="D47" s="102" t="inlineStr">
        <is>
          <t>Bower</t>
        </is>
      </c>
      <c r="E47" s="106">
        <f>COUNTIF($E$5:$H$21,"*Bower*")</f>
        <v/>
      </c>
      <c r="F47" s="106">
        <f>COUNTIF($I$5:$N$21,"*Bower*")</f>
        <v/>
      </c>
      <c r="G47" s="106">
        <f>COUNTIF($O$5:$V$21,"*Bower*")</f>
        <v/>
      </c>
      <c r="H47" s="106">
        <f>COUNTIF($C$5:$D$21,"*Bower*")</f>
        <v/>
      </c>
      <c r="I47" s="106">
        <f>COUNTIF($W$5:$AD$21,"*Bower*")</f>
        <v/>
      </c>
    </row>
    <row r="48">
      <c r="D48" s="102" t="inlineStr">
        <is>
          <t>Gaspar</t>
        </is>
      </c>
      <c r="E48" s="106">
        <f>COUNTIF($E$5:$H$21,"*Gaspar*")</f>
        <v/>
      </c>
      <c r="F48" s="106">
        <f>COUNTIF($I$5:$N$21,"*Gaspar*")</f>
        <v/>
      </c>
      <c r="G48" s="106">
        <f>COUNTIF($O$5:$V$21,"*Gaspar*")</f>
        <v/>
      </c>
      <c r="H48" s="106">
        <f>COUNTIF($C$5:$D$21,"*Gaspar*")</f>
        <v/>
      </c>
      <c r="I48" s="106">
        <f>COUNTIF($W$5:$AD$21,"*Gaspar*")</f>
        <v/>
      </c>
    </row>
    <row r="49">
      <c r="D49" s="102" t="inlineStr">
        <is>
          <t>Kendrick</t>
        </is>
      </c>
      <c r="E49" s="106">
        <f>COUNTIF($E$5:$H$21,"*Kendrick*")</f>
        <v/>
      </c>
      <c r="F49" s="106">
        <f>COUNTIF($I$5:$N$21,"*Kendrick*")</f>
        <v/>
      </c>
      <c r="G49" s="106">
        <f>COUNTIF($O$5:$V$21,"*Kendrick*")</f>
        <v/>
      </c>
      <c r="H49" s="106">
        <f>COUNTIF($C$5:$D$21,"*Kendrick*")</f>
        <v/>
      </c>
      <c r="I49" s="106">
        <f>COUNTIF($W$5:$AD$21,"*Kendrick*")</f>
        <v/>
      </c>
    </row>
    <row r="50">
      <c r="D50" s="102" t="inlineStr">
        <is>
          <t>Patel</t>
        </is>
      </c>
      <c r="E50" s="106">
        <f>COUNTIF($E$5:$H$21,"*Patel*")</f>
        <v/>
      </c>
      <c r="F50" s="106">
        <f>COUNTIF($I$5:$N$21,"*Patel*")</f>
        <v/>
      </c>
      <c r="G50" s="106">
        <f>COUNTIF($O$5:$V$21,"*Patel*")</f>
        <v/>
      </c>
      <c r="H50" s="106">
        <f>COUNTIF($C$5:$D$21,"*Patel*")</f>
        <v/>
      </c>
      <c r="I50" s="106">
        <f>COUNTIF($W$5:$AD$21,"*Patel*")</f>
        <v/>
      </c>
    </row>
    <row r="51">
      <c r="D51" s="102" t="inlineStr">
        <is>
          <t>Sublette</t>
        </is>
      </c>
      <c r="E51" s="106">
        <f>COUNTIF($E$5:$H$21,"*Sublette*")</f>
        <v/>
      </c>
      <c r="F51" s="106">
        <f>COUNTIF($I$5:$N$21,"*Sublette*")</f>
        <v/>
      </c>
      <c r="G51" s="106">
        <f>COUNTIF($O$5:$V$21,"*Sublette*")</f>
        <v/>
      </c>
      <c r="H51" s="106">
        <f>COUNTIF($C$5:$D$21,"*Sublette*")</f>
        <v/>
      </c>
      <c r="I51" s="106">
        <f>COUNTIF($W$5:$AD$21,"*Sublette*")</f>
        <v/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/>
      </c>
      <c r="F53" s="107">
        <f>COUNTIF($I$5:$N$21,"*Johnson*")</f>
        <v/>
      </c>
      <c r="G53" s="107">
        <f>COUNTIF($O$5:$V$21,"*Johnson*")</f>
        <v/>
      </c>
      <c r="H53" s="107">
        <f>COUNTIF($C$5:$D$21,"*Johnson*")</f>
        <v/>
      </c>
      <c r="I53" s="107">
        <f>COUNTIF($W$5:$AD$21,"*Johnson*")</f>
        <v/>
      </c>
    </row>
    <row r="54">
      <c r="D54" s="103" t="inlineStr">
        <is>
          <t>Lux</t>
        </is>
      </c>
      <c r="E54" s="107">
        <f>COUNTIF($E$5:$H$21,"*Lux*")</f>
        <v/>
      </c>
      <c r="F54" s="107">
        <f>COUNTIF($I$5:$N$21,"*Lux*")</f>
        <v/>
      </c>
      <c r="G54" s="107">
        <f>COUNTIF($O$5:$V$21,"*Lux*")</f>
        <v/>
      </c>
      <c r="H54" s="107">
        <f>COUNTIF($C$5:$D$21,"*Lux*")</f>
        <v/>
      </c>
      <c r="I54" s="107">
        <f>COUNTIF($W$5:$AD$21,"*Lux*")</f>
        <v/>
      </c>
    </row>
    <row r="55">
      <c r="D55" s="103" t="inlineStr">
        <is>
          <t>Mautino</t>
        </is>
      </c>
      <c r="E55" s="107">
        <f>COUNTIF($E$5:$H$21,"*Mautino*")</f>
        <v/>
      </c>
      <c r="F55" s="107">
        <f>COUNTIF($I$5:$N$21,"*Mautino*")</f>
        <v/>
      </c>
      <c r="G55" s="107">
        <f>COUNTIF($O$5:$V$21,"*Mautino*")</f>
        <v/>
      </c>
      <c r="H55" s="107">
        <f>COUNTIF($C$5:$D$21,"*Mautino*")</f>
        <v/>
      </c>
      <c r="I55" s="107">
        <f>COUNTIF($W$5:$AD$21,"*Mautino*")</f>
        <v/>
      </c>
    </row>
    <row r="56">
      <c r="D56" s="103" t="inlineStr">
        <is>
          <t>Mudondo</t>
        </is>
      </c>
      <c r="E56" s="107">
        <f>COUNTIF($E$5:$H$21,"*Mudondo*")</f>
        <v/>
      </c>
      <c r="F56" s="107">
        <f>COUNTIF($I$5:$N$21,"*Mudondo*")</f>
        <v/>
      </c>
      <c r="G56" s="107">
        <f>COUNTIF($O$5:$V$21,"*Mudondo*")</f>
        <v/>
      </c>
      <c r="H56" s="107">
        <f>COUNTIF($C$5:$D$21,"*Mudondo*")</f>
        <v/>
      </c>
      <c r="I56" s="107">
        <f>COUNTIF($W$5:$AD$21,"*Mudondo*")</f>
        <v/>
      </c>
    </row>
    <row r="57">
      <c r="E57" s="95">
        <f>SUM(E38:E56)</f>
        <v/>
      </c>
      <c r="F57" s="95">
        <f>SUM(F38:F56)</f>
        <v/>
      </c>
      <c r="G57" s="95">
        <f>SUM(G38:G56)</f>
        <v/>
      </c>
      <c r="H57" s="95">
        <f>SUM(H38:H56)</f>
        <v/>
      </c>
      <c r="I57" s="95">
        <f>SUM(I38:I56)</f>
        <v/>
      </c>
    </row>
  </sheetData>
  <mergeCells count="115">
    <mergeCell ref="G21:H21"/>
    <mergeCell ref="C6:D6"/>
    <mergeCell ref="C15:D15"/>
    <mergeCell ref="E8:F8"/>
    <mergeCell ref="O9:V9"/>
    <mergeCell ref="C27:K27"/>
    <mergeCell ref="I16:J16"/>
    <mergeCell ref="W20:AD20"/>
    <mergeCell ref="O5:V5"/>
    <mergeCell ref="G18:H18"/>
    <mergeCell ref="I18:J18"/>
    <mergeCell ref="W12:AD12"/>
    <mergeCell ref="C25:K26"/>
    <mergeCell ref="W9:AD9"/>
    <mergeCell ref="O12:V12"/>
    <mergeCell ref="AG5:AG6"/>
    <mergeCell ref="G20:H20"/>
    <mergeCell ref="I20:J20"/>
    <mergeCell ref="K5:M5"/>
    <mergeCell ref="O14:V14"/>
    <mergeCell ref="K11:M11"/>
    <mergeCell ref="E12:F12"/>
    <mergeCell ref="W4:AD4"/>
    <mergeCell ref="O7:V7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E4:F4"/>
    <mergeCell ref="K8:M8"/>
    <mergeCell ref="G7:H7"/>
    <mergeCell ref="C7:D8"/>
    <mergeCell ref="I7:J7"/>
    <mergeCell ref="K14:M14"/>
    <mergeCell ref="K15:N15"/>
    <mergeCell ref="K7:M7"/>
    <mergeCell ref="K21:N21"/>
    <mergeCell ref="K4:M4"/>
    <mergeCell ref="AG8:AG9"/>
    <mergeCell ref="I8:J8"/>
    <mergeCell ref="I17:J17"/>
    <mergeCell ref="O17:V17"/>
    <mergeCell ref="O11:V11"/>
    <mergeCell ref="C10:D11"/>
    <mergeCell ref="C16:D17"/>
    <mergeCell ref="I19:J19"/>
    <mergeCell ref="D36:I36"/>
    <mergeCell ref="W14:AD14"/>
    <mergeCell ref="C18:D18"/>
    <mergeCell ref="G9:H9"/>
    <mergeCell ref="E18:F18"/>
    <mergeCell ref="I9:J9"/>
    <mergeCell ref="C2:AD2"/>
    <mergeCell ref="AG4:AN4"/>
    <mergeCell ref="K17:N17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G8:H8"/>
    <mergeCell ref="E17:F17"/>
    <mergeCell ref="W5:AD5"/>
    <mergeCell ref="G17:H17"/>
    <mergeCell ref="AG11:AG12"/>
    <mergeCell ref="X25:AD25"/>
    <mergeCell ref="K18:N18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O21:V21"/>
    <mergeCell ref="G5:H5"/>
    <mergeCell ref="K20:N20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C2:AD2" showDropDown="0" showInputMessage="1" showErrorMessage="1" allowBlank="1" prompt="To change the calendar year, go to cell P8 in About sheet"/>
    <dataValidation sqref="C5:D5" showDropDown="0" showInputMessage="1" showErrorMessage="1" allowBlank="1" prompt="Calendar days are automatically updated"/>
    <dataValidation sqref="C4:D4" showDropDown="0" showInputMessage="1" showErrorMessage="1" allowBlank="1" prompt="To change the starting day of the week, go to cell P12 in About sheet"/>
    <dataValidation sqref="C6:D6" showDropDown="0" showInputMessage="1" showErrorMessage="1" allowBlank="1" prompt="Enter daily notes below the calendar days, such as this cell"/>
    <dataValidation sqref="C25:K26" showDropDown="0" showInputMessage="1" showErrorMessage="1" allowBlank="1" prompt="Enter monthly notes in cells C24 to K28"/>
    <dataValidation sqref="O25:U25" showDropDown="0" showInputMessage="1" showErrorMessage="1" allowBlank="1" prompt="Previous month calendar"/>
    <dataValidation sqref="X25:AD25" showDropDown="0" showInputMessage="1" showErrorMessage="1" allowBlank="1" prompt="Next month calendar"/>
  </dataValidations>
  <printOptions horizontalCentered="1"/>
  <pageMargins left="0.5" right="0.5" top="0.25" bottom="0.25" header="0.25" footer="0.25"/>
  <pageSetup orientation="landscape" scale="88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6" zoomScaleNormal="100" workbookViewId="0">
      <selection activeCell="O15" sqref="O15:V15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DATE('2026'!P8,12,1)</f>
        <v/>
      </c>
      <c r="AF2" s="29" t="n"/>
      <c r="AG2" s="149" t="inlineStr">
        <is>
          <t>Away: Kendrick
CBP - 2 weeks: 
Peds Inpatient: Hard
Med A: Mautino &amp; Oehm
OB: Lux</t>
        </is>
      </c>
      <c r="AK2" s="149" t="inlineStr">
        <is>
          <t xml:space="preserve">GYN/CM: Sublette
NICU: Patel &amp; Bottke
R3 - Ortho: Mudondo
R2 - Peds: 
Derm: 
Ultrasound: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3" t="inlineStr">
        <is>
          <t>Stanek
Johnson</t>
        </is>
      </c>
      <c r="H6" s="202" t="n"/>
      <c r="I6" s="203" t="inlineStr">
        <is>
          <t>Stanek
Bottke</t>
        </is>
      </c>
      <c r="J6" s="202" t="n"/>
      <c r="K6" s="203" t="inlineStr">
        <is>
          <t>Stanek
Lux</t>
        </is>
      </c>
      <c r="L6" s="204" t="n"/>
      <c r="M6" s="204" t="n"/>
      <c r="N6" s="202" t="n"/>
      <c r="O6" s="203" t="inlineStr">
        <is>
          <t>Stanek
Johnson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Schutt
Bottke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/>
      </c>
      <c r="AI6" s="94">
        <f>COUNTIF($C$5:$AD$21,"*Oehm*")</f>
        <v/>
      </c>
      <c r="AJ6" s="94">
        <f>COUNTIF($C$5:$AD$21,"*Schutt*")</f>
        <v/>
      </c>
      <c r="AK6" s="94">
        <f>COUNTIF($C$5:$AD$21,"*Stanek*")</f>
        <v/>
      </c>
      <c r="AL6" s="94">
        <f>COUNTIF($C$5:$AD$21,"*Strand*")</f>
        <v/>
      </c>
      <c r="AM6" s="94">
        <f>COUNTIF($C$5:$AD$21,"*Wohlgemuth*")</f>
        <v/>
      </c>
      <c r="AN6" s="92">
        <f>SUM(AH6:AM6)</f>
        <v/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Oehm
Beutel</t>
        </is>
      </c>
      <c r="D9" s="202" t="n"/>
      <c r="E9" s="203" t="inlineStr">
        <is>
          <t>Strand
Lux</t>
        </is>
      </c>
      <c r="F9" s="202" t="n"/>
      <c r="G9" s="203" t="inlineStr">
        <is>
          <t>Strand
Mudondo</t>
        </is>
      </c>
      <c r="H9" s="202" t="n"/>
      <c r="I9" s="203" t="inlineStr">
        <is>
          <t>Strand
Gaspar</t>
        </is>
      </c>
      <c r="J9" s="202" t="n"/>
      <c r="K9" s="203" t="inlineStr">
        <is>
          <t>Strand
Patel</t>
        </is>
      </c>
      <c r="L9" s="204" t="n"/>
      <c r="M9" s="204" t="n"/>
      <c r="N9" s="202" t="n"/>
      <c r="O9" s="203" t="inlineStr">
        <is>
          <t>Strand
Johnson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Stanek
Mautino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/>
      </c>
      <c r="AI9" s="94">
        <f>COUNTIF($C$5:$AD$21,"*Bottke*")</f>
        <v/>
      </c>
      <c r="AJ9" s="94">
        <f>COUNTIF($C$5:$AD$21,"*Bower*")</f>
        <v/>
      </c>
      <c r="AK9" s="94">
        <f>COUNTIF($C$5:$AD$21,"*Gaspar*")</f>
        <v/>
      </c>
      <c r="AL9" s="94">
        <f>COUNTIF($C$5:$AD$21,"*Kendrick*")</f>
        <v/>
      </c>
      <c r="AM9" s="94">
        <f>COUNTIF($C$5:$AD$21,"*Patel*")</f>
        <v/>
      </c>
      <c r="AN9" s="94">
        <f>COUNTIF($C$5:$AD$21,"*Sublette*")</f>
        <v/>
      </c>
      <c r="AO9" s="92">
        <f>SUM(AH9:AN9)</f>
        <v/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Schutt
Gaspar</t>
        </is>
      </c>
      <c r="D12" s="202" t="n"/>
      <c r="E12" s="203" t="inlineStr">
        <is>
          <t>Strand
Mautino</t>
        </is>
      </c>
      <c r="F12" s="202" t="n"/>
      <c r="G12" s="203" t="inlineStr">
        <is>
          <t>Strand
Johnson</t>
        </is>
      </c>
      <c r="H12" s="202" t="n"/>
      <c r="I12" s="203" t="inlineStr">
        <is>
          <t>Strand
Gaspar</t>
        </is>
      </c>
      <c r="J12" s="202" t="n"/>
      <c r="K12" s="203" t="inlineStr">
        <is>
          <t>Strand
Patel</t>
        </is>
      </c>
      <c r="L12" s="204" t="n"/>
      <c r="M12" s="204" t="n"/>
      <c r="N12" s="202" t="n"/>
      <c r="O12" s="203" t="inlineStr">
        <is>
          <t>Strand
Lux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Schutt
Johnson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/>
      </c>
      <c r="AI12" s="94">
        <f>COUNTIF($C$5:$AD$21,"*Lux*")</f>
        <v/>
      </c>
      <c r="AJ12" s="94">
        <f>COUNTIF($C$5:$AD$21,"*Mautino*")</f>
        <v/>
      </c>
      <c r="AK12" s="94">
        <f>COUNTIF($C$5:$AD$21,"*Mudondo*")</f>
        <v/>
      </c>
      <c r="AL12" s="84">
        <f>SUM(AH12:AK12)</f>
        <v/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62" t="n"/>
      <c r="L13" s="114" t="n"/>
      <c r="M13" s="114" t="n"/>
      <c r="N13" s="163" t="n"/>
      <c r="O13" s="162" t="n"/>
      <c r="P13" s="114" t="n"/>
      <c r="Q13" s="114" t="n"/>
      <c r="R13" s="114" t="n"/>
      <c r="S13" s="114" t="n"/>
      <c r="T13" s="114" t="n"/>
      <c r="U13" s="114" t="n"/>
      <c r="V13" s="163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27">
        <f>I14+1</f>
        <v/>
      </c>
      <c r="N14" s="228" t="n"/>
      <c r="O14" s="225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1" t="inlineStr">
        <is>
          <t>Wohlgemuth
Sublette</t>
        </is>
      </c>
      <c r="D15" s="202" t="n"/>
      <c r="E15" s="201" t="inlineStr">
        <is>
          <t>Schutt
Bower</t>
        </is>
      </c>
      <c r="F15" s="202" t="n"/>
      <c r="G15" s="201" t="inlineStr">
        <is>
          <t>Oehm
Lux</t>
        </is>
      </c>
      <c r="H15" s="202" t="n"/>
      <c r="I15" s="201" t="inlineStr">
        <is>
          <t>Hard
Mautino</t>
        </is>
      </c>
      <c r="J15" s="202" t="n"/>
      <c r="K15" s="201" t="inlineStr">
        <is>
          <t>Oehm
Patel</t>
        </is>
      </c>
      <c r="L15" s="204" t="n"/>
      <c r="M15" s="204" t="n"/>
      <c r="N15" s="202" t="n"/>
      <c r="O15" s="201" t="inlineStr">
        <is>
          <t>Schutt
Mautino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1" t="inlineStr">
        <is>
          <t>Strand
Sublette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45" t="n"/>
      <c r="J16" s="46" t="n"/>
      <c r="K16" s="115" t="n"/>
      <c r="L16" s="116" t="n"/>
      <c r="M16" s="116" t="n"/>
      <c r="N16" s="117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25">
        <f>I17+1</f>
        <v/>
      </c>
      <c r="N17" s="197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1" t="inlineStr">
        <is>
          <t>Stanek
Patel</t>
        </is>
      </c>
      <c r="D18" s="202" t="n"/>
      <c r="E18" s="201" t="inlineStr">
        <is>
          <t>Schutt
Sublette</t>
        </is>
      </c>
      <c r="F18" s="202" t="n"/>
      <c r="G18" s="201" t="inlineStr">
        <is>
          <t>Hard
Johnson</t>
        </is>
      </c>
      <c r="H18" s="202" t="n"/>
      <c r="I18" s="201" t="inlineStr">
        <is>
          <t>Stanek
Kendrick</t>
        </is>
      </c>
      <c r="J18" s="202" t="n"/>
      <c r="K18" s="201" t="inlineStr">
        <is>
          <t>Strand
Johnson</t>
        </is>
      </c>
      <c r="L18" s="204" t="n"/>
      <c r="M18" s="204" t="n"/>
      <c r="N18" s="202" t="n"/>
      <c r="O18" s="201" t="n"/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45" t="n"/>
      <c r="J19" s="46" t="n"/>
      <c r="K19" s="45" t="n"/>
      <c r="L19" s="47" t="n"/>
      <c r="M19" s="47" t="n"/>
      <c r="N19" s="46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8">
        <f>I20+1</f>
        <v/>
      </c>
      <c r="N20" s="197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201" t="n"/>
      <c r="L21" s="204" t="n"/>
      <c r="M21" s="204" t="n"/>
      <c r="N21" s="202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>
      <c r="A32" s="1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O33" s="216" t="n"/>
      <c r="P33" s="217" t="n"/>
      <c r="Q33" s="217" t="n"/>
      <c r="R33" s="217" t="n"/>
      <c r="S33" s="217" t="n"/>
      <c r="T33" s="217" t="n"/>
      <c r="U33" s="216" t="n"/>
      <c r="V33" s="59" t="n"/>
      <c r="W33" s="59" t="n"/>
      <c r="X33" s="216" t="n"/>
      <c r="Y33" s="217" t="n"/>
      <c r="Z33" s="217" t="n"/>
      <c r="AA33" s="217" t="n"/>
      <c r="AB33" s="217" t="n"/>
      <c r="AC33" s="217" t="n"/>
      <c r="AD33" s="217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/>
      </c>
      <c r="F38" s="104">
        <f>COUNTIF($I$5:$N$21,"*Hard*")</f>
        <v/>
      </c>
      <c r="G38" s="104">
        <f>COUNTIF($O$5:$V$21,"*Hard*")</f>
        <v/>
      </c>
      <c r="H38" s="104">
        <f>COUNTIF($C$5:$D$21,"*Hard*")</f>
        <v/>
      </c>
      <c r="I38" s="104">
        <f>COUNTIF($W$5:$AD$21,"*Hard*")</f>
        <v/>
      </c>
    </row>
    <row r="39">
      <c r="D39" s="101" t="inlineStr">
        <is>
          <t>Oehm</t>
        </is>
      </c>
      <c r="E39" s="104">
        <f>COUNTIF($E$5:$H$21,"*Oehm*")</f>
        <v/>
      </c>
      <c r="F39" s="104">
        <f>COUNTIF($I$5:$N$21,"*Oehm*")</f>
        <v/>
      </c>
      <c r="G39" s="104">
        <f>COUNTIF($O$5:$V$21,"*Oehm*")</f>
        <v/>
      </c>
      <c r="H39" s="104">
        <f>COUNTIF($C$5:$D$21,"*Oehm*")</f>
        <v/>
      </c>
      <c r="I39" s="104">
        <f>COUNTIF($W$5:$AD$21,"*Oehm*")</f>
        <v/>
      </c>
    </row>
    <row r="40">
      <c r="D40" s="101" t="inlineStr">
        <is>
          <t>Schutt</t>
        </is>
      </c>
      <c r="E40" s="104">
        <f>COUNTIF($E$5:$H$21,"*Schutt*")</f>
        <v/>
      </c>
      <c r="F40" s="104">
        <f>COUNTIF($I$5:$N$21,"*Schutt*")</f>
        <v/>
      </c>
      <c r="G40" s="104">
        <f>COUNTIF($O$5:$V$21,"*Schutt*")</f>
        <v/>
      </c>
      <c r="H40" s="104">
        <f>COUNTIF($C$5:$D$21,"*Schutt*")</f>
        <v/>
      </c>
      <c r="I40" s="104">
        <f>COUNTIF($W$5:$AD$21,"*Schutt*")</f>
        <v/>
      </c>
    </row>
    <row r="41">
      <c r="D41" s="101" t="inlineStr">
        <is>
          <t>Stanek</t>
        </is>
      </c>
      <c r="E41" s="104">
        <f>COUNTIF($E$5:$H$21,"*Stanek*")</f>
        <v/>
      </c>
      <c r="F41" s="104">
        <f>COUNTIF($I$5:$N$21,"*Stanek*")</f>
        <v/>
      </c>
      <c r="G41" s="104">
        <f>COUNTIF($O$5:$V$21,"*Stanek*")</f>
        <v/>
      </c>
      <c r="H41" s="104">
        <f>COUNTIF($C$5:$D$21,"*Stanek*")</f>
        <v/>
      </c>
      <c r="I41" s="104">
        <f>COUNTIF($W$5:$AD$21,"*Stanek*")</f>
        <v/>
      </c>
    </row>
    <row r="42">
      <c r="D42" s="101" t="inlineStr">
        <is>
          <t>Strand</t>
        </is>
      </c>
      <c r="E42" s="104">
        <f>COUNTIF($E$5:$H$21,"*Strand*")</f>
        <v/>
      </c>
      <c r="F42" s="104">
        <f>COUNTIF($I$5:$N$21,"*Strand*")</f>
        <v/>
      </c>
      <c r="G42" s="104">
        <f>COUNTIF($O$5:$V$21,"*Strand*")</f>
        <v/>
      </c>
      <c r="H42" s="104">
        <f>COUNTIF($C$5:$D$21,"*Strand*")</f>
        <v/>
      </c>
      <c r="I42" s="104">
        <f>COUNTIF($W$5:$AD$21,"*Strand*")</f>
        <v/>
      </c>
    </row>
    <row r="43">
      <c r="D43" s="101" t="inlineStr">
        <is>
          <t>Wohlgemuth</t>
        </is>
      </c>
      <c r="E43" s="104">
        <f>COUNTIF($E$5:$H$21,"*Wohlgemuth*")</f>
        <v/>
      </c>
      <c r="F43" s="104">
        <f>COUNTIF($I$5:$N$21,"*Wohlgemuth*")</f>
        <v/>
      </c>
      <c r="G43" s="104">
        <f>COUNTIF($O$5:$V$21,"*Wohlgemuth*")</f>
        <v/>
      </c>
      <c r="H43" s="104">
        <f>COUNTIF($C$5:$D$21,"*Wohlgemuth*")</f>
        <v/>
      </c>
      <c r="I43" s="104">
        <f>COUNTIF($W$5:$AD$21,"*Wohlgemuth*")</f>
        <v/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/>
      </c>
      <c r="F45" s="106">
        <f>COUNTIF($I$5:$N$21,"*Beutel*")</f>
        <v/>
      </c>
      <c r="G45" s="106">
        <f>COUNTIF($O$5:$V$21,"*Beutel*")</f>
        <v/>
      </c>
      <c r="H45" s="106">
        <f>COUNTIF($C$5:$D$21,"*Beutel*")</f>
        <v/>
      </c>
      <c r="I45" s="106">
        <f>COUNTIF($W$5:$AD$21,"*Beutel*")</f>
        <v/>
      </c>
    </row>
    <row r="46">
      <c r="D46" s="102" t="inlineStr">
        <is>
          <t>Bottke</t>
        </is>
      </c>
      <c r="E46" s="106">
        <f>COUNTIF($E$5:$H$21,"*Bottke*")</f>
        <v/>
      </c>
      <c r="F46" s="106">
        <f>COUNTIF($I$5:$N$21,"*Bottke*")</f>
        <v/>
      </c>
      <c r="G46" s="106">
        <f>COUNTIF($O$5:$V$21,"*Bottke*")</f>
        <v/>
      </c>
      <c r="H46" s="106">
        <f>COUNTIF($C$5:$D$21,"*Bottke*")</f>
        <v/>
      </c>
      <c r="I46" s="106">
        <f>COUNTIF($W$5:$AD$21,"*Bottke*")</f>
        <v/>
      </c>
    </row>
    <row r="47">
      <c r="D47" s="102" t="inlineStr">
        <is>
          <t>Bower</t>
        </is>
      </c>
      <c r="E47" s="106">
        <f>COUNTIF($E$5:$H$21,"*Bower*")</f>
        <v/>
      </c>
      <c r="F47" s="106">
        <f>COUNTIF($I$5:$N$21,"*Bower*")</f>
        <v/>
      </c>
      <c r="G47" s="106">
        <f>COUNTIF($O$5:$V$21,"*Bower*")</f>
        <v/>
      </c>
      <c r="H47" s="106">
        <f>COUNTIF($C$5:$D$21,"*Bower*")</f>
        <v/>
      </c>
      <c r="I47" s="106">
        <f>COUNTIF($W$5:$AD$21,"*Bower*")</f>
        <v/>
      </c>
    </row>
    <row r="48">
      <c r="D48" s="102" t="inlineStr">
        <is>
          <t>Gaspar</t>
        </is>
      </c>
      <c r="E48" s="106">
        <f>COUNTIF($E$5:$H$21,"*Gaspar*")</f>
        <v/>
      </c>
      <c r="F48" s="106">
        <f>COUNTIF($I$5:$N$21,"*Gaspar*")</f>
        <v/>
      </c>
      <c r="G48" s="106">
        <f>COUNTIF($O$5:$V$21,"*Gaspar*")</f>
        <v/>
      </c>
      <c r="H48" s="106">
        <f>COUNTIF($C$5:$D$21,"*Gaspar*")</f>
        <v/>
      </c>
      <c r="I48" s="106">
        <f>COUNTIF($W$5:$AD$21,"*Gaspar*")</f>
        <v/>
      </c>
    </row>
    <row r="49">
      <c r="D49" s="102" t="inlineStr">
        <is>
          <t>Kendrick</t>
        </is>
      </c>
      <c r="E49" s="106">
        <f>COUNTIF($E$5:$H$21,"*Kendrick*")</f>
        <v/>
      </c>
      <c r="F49" s="106">
        <f>COUNTIF($I$5:$N$21,"*Kendrick*")</f>
        <v/>
      </c>
      <c r="G49" s="106">
        <f>COUNTIF($O$5:$V$21,"*Kendrick*")</f>
        <v/>
      </c>
      <c r="H49" s="106">
        <f>COUNTIF($C$5:$D$21,"*Kendrick*")</f>
        <v/>
      </c>
      <c r="I49" s="106">
        <f>COUNTIF($W$5:$AD$21,"*Kendrick*")</f>
        <v/>
      </c>
    </row>
    <row r="50">
      <c r="D50" s="102" t="inlineStr">
        <is>
          <t>Patel</t>
        </is>
      </c>
      <c r="E50" s="106">
        <f>COUNTIF($E$5:$H$21,"*Patel*")</f>
        <v/>
      </c>
      <c r="F50" s="106">
        <f>COUNTIF($I$5:$N$21,"*Patel*")</f>
        <v/>
      </c>
      <c r="G50" s="106">
        <f>COUNTIF($O$5:$V$21,"*Patel*")</f>
        <v/>
      </c>
      <c r="H50" s="106">
        <f>COUNTIF($C$5:$D$21,"*Patel*")</f>
        <v/>
      </c>
      <c r="I50" s="106">
        <f>COUNTIF($W$5:$AD$21,"*Patel*")</f>
        <v/>
      </c>
    </row>
    <row r="51">
      <c r="D51" s="102" t="inlineStr">
        <is>
          <t>Sublette</t>
        </is>
      </c>
      <c r="E51" s="106">
        <f>COUNTIF($E$5:$H$21,"*Sublette*")</f>
        <v/>
      </c>
      <c r="F51" s="106">
        <f>COUNTIF($I$5:$N$21,"*Sublette*")</f>
        <v/>
      </c>
      <c r="G51" s="106">
        <f>COUNTIF($O$5:$V$21,"*Sublette*")</f>
        <v/>
      </c>
      <c r="H51" s="106">
        <f>COUNTIF($C$5:$D$21,"*Sublette*")</f>
        <v/>
      </c>
      <c r="I51" s="106">
        <f>COUNTIF($W$5:$AD$21,"*Sublette*")</f>
        <v/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/>
      </c>
      <c r="F53" s="107">
        <f>COUNTIF($I$5:$N$21,"*Johnson*")</f>
        <v/>
      </c>
      <c r="G53" s="107">
        <f>COUNTIF($O$5:$V$21,"*Johnson*")</f>
        <v/>
      </c>
      <c r="H53" s="107">
        <f>COUNTIF($C$5:$D$21,"*Johnson*")</f>
        <v/>
      </c>
      <c r="I53" s="107">
        <f>COUNTIF($W$5:$AD$21,"*Johnson*")</f>
        <v/>
      </c>
    </row>
    <row r="54">
      <c r="D54" s="103" t="inlineStr">
        <is>
          <t>Lux</t>
        </is>
      </c>
      <c r="E54" s="107">
        <f>COUNTIF($E$5:$H$21,"*Lux*")</f>
        <v/>
      </c>
      <c r="F54" s="107">
        <f>COUNTIF($I$5:$N$21,"*Lux*")</f>
        <v/>
      </c>
      <c r="G54" s="107">
        <f>COUNTIF($O$5:$V$21,"*Lux*")</f>
        <v/>
      </c>
      <c r="H54" s="107">
        <f>COUNTIF($C$5:$D$21,"*Lux*")</f>
        <v/>
      </c>
      <c r="I54" s="107">
        <f>COUNTIF($W$5:$AD$21,"*Lux*")</f>
        <v/>
      </c>
    </row>
    <row r="55">
      <c r="D55" s="103" t="inlineStr">
        <is>
          <t>Mautino</t>
        </is>
      </c>
      <c r="E55" s="107">
        <f>COUNTIF($E$5:$H$21,"*Mautino*")</f>
        <v/>
      </c>
      <c r="F55" s="107">
        <f>COUNTIF($I$5:$N$21,"*Mautino*")</f>
        <v/>
      </c>
      <c r="G55" s="107">
        <f>COUNTIF($O$5:$V$21,"*Mautino*")</f>
        <v/>
      </c>
      <c r="H55" s="107">
        <f>COUNTIF($C$5:$D$21,"*Mautino*")</f>
        <v/>
      </c>
      <c r="I55" s="107">
        <f>COUNTIF($W$5:$AD$21,"*Mautino*")</f>
        <v/>
      </c>
    </row>
    <row r="56">
      <c r="D56" s="103" t="inlineStr">
        <is>
          <t>Mudondo</t>
        </is>
      </c>
      <c r="E56" s="107">
        <f>COUNTIF($E$5:$H$21,"*Mudondo*")</f>
        <v/>
      </c>
      <c r="F56" s="107">
        <f>COUNTIF($I$5:$N$21,"*Mudondo*")</f>
        <v/>
      </c>
      <c r="G56" s="107">
        <f>COUNTIF($O$5:$V$21,"*Mudondo*")</f>
        <v/>
      </c>
      <c r="H56" s="107">
        <f>COUNTIF($C$5:$D$21,"*Mudondo*")</f>
        <v/>
      </c>
      <c r="I56" s="107">
        <f>COUNTIF($W$5:$AD$21,"*Mudondo*")</f>
        <v/>
      </c>
    </row>
    <row r="57">
      <c r="E57" s="95">
        <f>SUM(E38:E56)</f>
        <v/>
      </c>
      <c r="F57" s="95">
        <f>SUM(F38:F56)</f>
        <v/>
      </c>
      <c r="G57" s="95">
        <f>SUM(G38:G56)</f>
        <v/>
      </c>
      <c r="H57" s="95">
        <f>SUM(H38:H56)</f>
        <v/>
      </c>
      <c r="I57" s="95">
        <f>SUM(I38:I56)</f>
        <v/>
      </c>
    </row>
  </sheetData>
  <mergeCells count="113">
    <mergeCell ref="G21:H21"/>
    <mergeCell ref="C6:D6"/>
    <mergeCell ref="C15:D15"/>
    <mergeCell ref="E8:F8"/>
    <mergeCell ref="O9:V9"/>
    <mergeCell ref="C27:K27"/>
    <mergeCell ref="W20:AD20"/>
    <mergeCell ref="O5:V5"/>
    <mergeCell ref="G18:H18"/>
    <mergeCell ref="I18:J18"/>
    <mergeCell ref="W12:AD12"/>
    <mergeCell ref="C25:K26"/>
    <mergeCell ref="W9:AD9"/>
    <mergeCell ref="O12:V12"/>
    <mergeCell ref="AG5:AG6"/>
    <mergeCell ref="G20:H20"/>
    <mergeCell ref="I20:J20"/>
    <mergeCell ref="K5:M5"/>
    <mergeCell ref="O14:V14"/>
    <mergeCell ref="K11:M11"/>
    <mergeCell ref="E12:F12"/>
    <mergeCell ref="W4:AD4"/>
    <mergeCell ref="O7:V7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E4:F4"/>
    <mergeCell ref="K8:M8"/>
    <mergeCell ref="G7:H7"/>
    <mergeCell ref="C7:D8"/>
    <mergeCell ref="I7:J7"/>
    <mergeCell ref="K14:M14"/>
    <mergeCell ref="K15:N15"/>
    <mergeCell ref="K7:M7"/>
    <mergeCell ref="K4:M4"/>
    <mergeCell ref="K21:N21"/>
    <mergeCell ref="AG8:AG9"/>
    <mergeCell ref="I8:J8"/>
    <mergeCell ref="I17:J17"/>
    <mergeCell ref="O17:V17"/>
    <mergeCell ref="O11:V11"/>
    <mergeCell ref="C10:D11"/>
    <mergeCell ref="C16:D17"/>
    <mergeCell ref="D36:I36"/>
    <mergeCell ref="W14:AD14"/>
    <mergeCell ref="C18:D18"/>
    <mergeCell ref="G9:H9"/>
    <mergeCell ref="E18:F18"/>
    <mergeCell ref="I9:J9"/>
    <mergeCell ref="C2:AD2"/>
    <mergeCell ref="AG4:AN4"/>
    <mergeCell ref="K17:N17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G8:H8"/>
    <mergeCell ref="E17:F17"/>
    <mergeCell ref="W5:AD5"/>
    <mergeCell ref="G17:H17"/>
    <mergeCell ref="AG11:AG12"/>
    <mergeCell ref="X25:AD25"/>
    <mergeCell ref="K18:N18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K20:N20"/>
    <mergeCell ref="G5:H5"/>
    <mergeCell ref="O21:V21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X25:AD25" showDropDown="0" showInputMessage="1" showErrorMessage="1" allowBlank="1" prompt="Next month calendar"/>
    <dataValidation sqref="O25:U25" showDropDown="0" showInputMessage="1" showErrorMessage="1" allowBlank="1" prompt="Previous month calendar"/>
    <dataValidation sqref="C25:K26" showDropDown="0" showInputMessage="1" showErrorMessage="1" allowBlank="1" prompt="Enter monthly notes in cells C24 to K28"/>
    <dataValidation sqref="C6:D6" showDropDown="0" showInputMessage="1" showErrorMessage="1" allowBlank="1" prompt="Enter daily notes below the calendar days, such as this cell"/>
    <dataValidation sqref="C4:D4" showDropDown="0" showInputMessage="1" showErrorMessage="1" allowBlank="1" prompt="To change the starting day of the week, go to cell P12 in About sheet"/>
    <dataValidation sqref="C5:D5" showDropDown="0" showInputMessage="1" showErrorMessage="1" allowBlank="1" prompt="Calendar days are automatically updated"/>
    <dataValidation sqref="C2:AD2" showDropDown="0" showInputMessage="1" showErrorMessage="1" allowBlank="1" prompt="To change the calendar year, go to cell P8 in About sheet"/>
  </dataValidations>
  <printOptions horizontalCentered="1"/>
  <pageMargins left="0.5" right="0.5" top="0.25" bottom="0.25" header="0.25" footer="0.25"/>
  <pageSetup orientation="landscape" scale="88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15"/>
  <sheetViews>
    <sheetView showGridLines="0" workbookViewId="0">
      <selection activeCell="G6" sqref="G6"/>
    </sheetView>
  </sheetViews>
  <sheetFormatPr baseColWidth="8" defaultColWidth="8.7109375" defaultRowHeight="15.75"/>
  <cols>
    <col width="5.5703125" customWidth="1" style="3" min="1" max="4"/>
    <col width="10.5703125" customWidth="1" style="3" min="5" max="9"/>
    <col width="10.5703125" customWidth="1" style="28" min="10" max="11"/>
    <col width="5.5703125" customWidth="1" style="3" min="12" max="14"/>
    <col width="25.5703125" customWidth="1" style="3" min="15" max="15"/>
    <col width="10.5703125" customWidth="1" style="3" min="16" max="16"/>
    <col width="5.5703125" customWidth="1" style="3" min="17" max="18"/>
    <col width="8.7109375" customWidth="1" style="3" min="19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1" t="n"/>
      <c r="M1" s="1" t="n"/>
      <c r="N1" s="1" t="n"/>
      <c r="O1" s="1" t="n"/>
      <c r="P1" s="1" t="n"/>
      <c r="Q1" s="1" t="n"/>
      <c r="R1" s="1" t="n"/>
    </row>
    <row r="2" ht="75" customFormat="1" customHeight="1" s="7">
      <c r="A2" s="4" t="n"/>
      <c r="B2" s="5" t="n"/>
      <c r="C2" s="74" t="inlineStr">
        <is>
          <t>How to Use This Template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4" t="n"/>
    </row>
    <row r="3" ht="24.95" customHeight="1">
      <c r="A3" s="1" t="n"/>
      <c r="B3" s="1" t="n"/>
      <c r="C3" s="8" t="n"/>
      <c r="D3" s="8" t="n"/>
      <c r="E3" s="1" t="n"/>
      <c r="F3" s="1" t="n"/>
      <c r="G3" s="1" t="n"/>
      <c r="H3" s="1" t="n"/>
      <c r="I3" s="1" t="n"/>
      <c r="J3" s="9" t="n"/>
      <c r="K3" s="9" t="n"/>
      <c r="L3" s="10" t="n"/>
      <c r="M3" s="1" t="n"/>
      <c r="N3" s="1" t="n"/>
      <c r="O3" s="1" t="n"/>
      <c r="P3" s="1" t="n"/>
      <c r="Q3" s="1" t="n"/>
      <c r="R3" s="1" t="n"/>
    </row>
    <row r="4" ht="30" customHeight="1">
      <c r="A4" s="1" t="n"/>
      <c r="B4" s="11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1" t="n"/>
      <c r="M4" s="1" t="n"/>
      <c r="N4" s="121" t="inlineStr">
        <is>
          <t>Time Entry</t>
        </is>
      </c>
      <c r="R4" s="1" t="n"/>
    </row>
    <row r="5" ht="30" customHeight="1">
      <c r="A5" s="1" t="n"/>
      <c r="B5" s="11" t="n"/>
      <c r="C5" s="13" t="inlineStr">
        <is>
          <t>Step 1:</t>
        </is>
      </c>
      <c r="D5" s="13" t="n"/>
      <c r="E5" s="14" t="inlineStr">
        <is>
          <t xml:space="preserve"> Enter the Year </t>
        </is>
      </c>
      <c r="F5" s="14" t="n"/>
      <c r="G5" s="14" t="n"/>
      <c r="H5" s="14" t="n"/>
      <c r="I5" s="14" t="n"/>
      <c r="J5" s="14" t="n"/>
      <c r="K5" s="177" t="n"/>
      <c r="L5" s="16" t="n"/>
      <c r="M5" s="4" t="n"/>
      <c r="R5" s="1" t="n"/>
    </row>
    <row r="6" ht="30" customHeight="1">
      <c r="A6" s="1" t="n"/>
      <c r="B6" s="11" t="n"/>
      <c r="C6" s="17" t="n"/>
      <c r="D6" s="18" t="n"/>
      <c r="E6" s="19" t="n"/>
      <c r="F6" s="19" t="n"/>
      <c r="G6" s="19" t="n"/>
      <c r="H6" s="19" t="n"/>
      <c r="I6" s="19" t="n"/>
      <c r="J6" s="20" t="n"/>
      <c r="K6" s="20" t="n"/>
      <c r="L6" s="19" t="n"/>
      <c r="M6" s="4" t="n"/>
      <c r="R6" s="1" t="n"/>
    </row>
    <row r="7" ht="30" customHeight="1">
      <c r="A7" s="1" t="n"/>
      <c r="B7" s="11" t="n"/>
      <c r="C7" s="13" t="inlineStr">
        <is>
          <t xml:space="preserve">Step 2: </t>
        </is>
      </c>
      <c r="D7" s="13" t="n"/>
      <c r="E7" s="14" t="inlineStr">
        <is>
          <t>Choose the Start Day</t>
        </is>
      </c>
      <c r="F7" s="14" t="n"/>
      <c r="G7" s="14" t="n"/>
      <c r="H7" s="14" t="n"/>
      <c r="I7" s="14" t="n"/>
      <c r="J7" s="14" t="n"/>
      <c r="K7" s="177" t="n"/>
      <c r="L7" s="19" t="n"/>
      <c r="M7" s="1" t="n"/>
      <c r="N7" s="11" t="n"/>
      <c r="O7" s="11" t="n"/>
      <c r="P7" s="11" t="n"/>
      <c r="Q7" s="11" t="n"/>
      <c r="R7" s="1" t="n"/>
    </row>
    <row r="8" ht="30" customHeight="1">
      <c r="A8" s="1" t="n"/>
      <c r="B8" s="11" t="n"/>
      <c r="C8" s="17" t="n"/>
      <c r="D8" s="18" t="n"/>
      <c r="E8" s="19" t="n"/>
      <c r="F8" s="19" t="n"/>
      <c r="G8" s="19" t="n"/>
      <c r="H8" s="19" t="n"/>
      <c r="I8" s="19" t="n"/>
      <c r="J8" s="20" t="n"/>
      <c r="K8" s="20" t="n"/>
      <c r="L8" s="19" t="n"/>
      <c r="M8" s="4" t="n"/>
      <c r="N8" s="21" t="n"/>
      <c r="O8" s="22" t="inlineStr">
        <is>
          <t>Year</t>
        </is>
      </c>
      <c r="P8" s="23" t="n">
        <v>2027</v>
      </c>
      <c r="R8" s="1" t="n"/>
    </row>
    <row r="9" ht="30" customHeight="1">
      <c r="A9" s="1" t="n"/>
      <c r="B9" s="11" t="n"/>
      <c r="C9" s="13" t="inlineStr">
        <is>
          <t>Step 3:</t>
        </is>
      </c>
      <c r="D9" s="13" t="n"/>
      <c r="E9" s="14" t="inlineStr">
        <is>
          <t>Customize the Theme Colors / Fonts</t>
        </is>
      </c>
      <c r="F9" s="14" t="n"/>
      <c r="G9" s="14" t="n"/>
      <c r="H9" s="14" t="n"/>
      <c r="I9" s="14" t="n"/>
      <c r="J9" s="14" t="n"/>
      <c r="K9" s="177" t="n"/>
      <c r="L9" s="19" t="n"/>
      <c r="M9" s="4" t="n"/>
      <c r="N9" s="11" t="n"/>
      <c r="O9" s="11" t="n"/>
      <c r="P9" s="11" t="n"/>
      <c r="Q9" s="11" t="n"/>
      <c r="R9" s="1" t="n"/>
    </row>
    <row r="10" ht="30" customHeight="1">
      <c r="A10" s="1" t="n"/>
      <c r="B10" s="11" t="n"/>
      <c r="C10" s="24" t="n"/>
      <c r="D10" s="25" t="n"/>
      <c r="E10" s="14" t="inlineStr">
        <is>
          <t>Go to Page Layout &gt; Themes to choose different colors and fonts.</t>
        </is>
      </c>
      <c r="F10" s="14" t="n"/>
      <c r="G10" s="14" t="n"/>
      <c r="H10" s="14" t="n"/>
      <c r="I10" s="14" t="n"/>
      <c r="J10" s="14" t="n"/>
      <c r="K10" s="177" t="n"/>
      <c r="L10" s="19" t="n"/>
      <c r="M10" s="4" t="n"/>
      <c r="N10" s="11" t="n"/>
      <c r="O10" s="22" t="inlineStr">
        <is>
          <t>Start Day of Week</t>
        </is>
      </c>
      <c r="P10" s="23" t="n">
        <v>1</v>
      </c>
      <c r="Q10" s="18" t="n"/>
      <c r="R10" s="1" t="n"/>
    </row>
    <row r="11" ht="30" customHeight="1">
      <c r="A11" s="1" t="n"/>
      <c r="B11" s="11" t="n"/>
      <c r="C11" s="24" t="n"/>
      <c r="D11" s="25" t="n"/>
      <c r="E11" s="26" t="n"/>
      <c r="F11" s="26" t="n"/>
      <c r="G11" s="26" t="n"/>
      <c r="H11" s="26" t="n"/>
      <c r="I11" s="26" t="n"/>
      <c r="J11" s="20" t="n"/>
      <c r="K11" s="20" t="n"/>
      <c r="L11" s="19" t="n"/>
      <c r="M11" s="4" t="n"/>
      <c r="N11" s="18" t="n"/>
      <c r="O11" s="18" t="n"/>
      <c r="P11" s="18" t="n"/>
      <c r="Q11" s="18" t="n"/>
      <c r="R11" s="1" t="n"/>
    </row>
    <row r="12" ht="30" customHeight="1">
      <c r="A12" s="1" t="n"/>
      <c r="B12" s="11" t="n"/>
      <c r="C12" s="13" t="inlineStr">
        <is>
          <t>Step 4:</t>
        </is>
      </c>
      <c r="D12" s="13" t="n"/>
      <c r="E12" s="14" t="inlineStr">
        <is>
          <t>Print to Paper or PDF</t>
        </is>
      </c>
      <c r="F12" s="14" t="n"/>
      <c r="G12" s="14" t="n"/>
      <c r="H12" s="14" t="n"/>
      <c r="I12" s="14" t="n"/>
      <c r="J12" s="14" t="n"/>
      <c r="K12" s="177" t="n"/>
      <c r="L12" s="19" t="n"/>
      <c r="M12" s="4" t="n"/>
      <c r="N12" s="18" t="n"/>
      <c r="O12" s="18" t="n"/>
      <c r="P12" s="18" t="n"/>
      <c r="Q12" s="18" t="n"/>
      <c r="R12" s="1" t="n"/>
    </row>
    <row r="13" ht="30" customHeight="1">
      <c r="A13" s="1" t="n"/>
      <c r="B13" s="11" t="n"/>
      <c r="C13" s="25" t="n"/>
      <c r="D13" s="25" t="n"/>
      <c r="E13" s="14" t="inlineStr">
        <is>
          <t>Print the entire workbook, or print only the selected worksheets.</t>
        </is>
      </c>
      <c r="F13" s="14" t="n"/>
      <c r="G13" s="14" t="n"/>
      <c r="H13" s="14" t="n"/>
      <c r="I13" s="14" t="n"/>
      <c r="J13" s="14" t="n"/>
      <c r="K13" s="177" t="n"/>
      <c r="L13" s="19" t="n"/>
      <c r="M13" s="4" t="n"/>
      <c r="N13" s="18" t="n"/>
      <c r="O13" s="18" t="n"/>
      <c r="P13" s="18" t="n"/>
      <c r="Q13" s="18" t="n"/>
      <c r="R13" s="1" t="n"/>
    </row>
    <row r="14" ht="30" customHeight="1">
      <c r="A14" s="1" t="n"/>
      <c r="B14" s="11" t="n"/>
      <c r="C14" s="18" t="n"/>
      <c r="D14" s="18" t="n"/>
      <c r="E14" s="18" t="n"/>
      <c r="F14" s="18" t="n"/>
      <c r="G14" s="18" t="n"/>
      <c r="H14" s="18" t="n"/>
      <c r="I14" s="18" t="n"/>
      <c r="J14" s="27" t="n"/>
      <c r="K14" s="27" t="n"/>
      <c r="L14" s="18" t="n"/>
      <c r="M14" s="4" t="n"/>
      <c r="N14" s="18" t="n"/>
      <c r="O14" s="18" t="n"/>
      <c r="P14" s="18" t="n"/>
      <c r="Q14" s="18" t="n"/>
      <c r="R14" s="1" t="n"/>
    </row>
    <row r="15" ht="24.9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2" t="n"/>
      <c r="K15" s="2" t="n"/>
      <c r="L15" s="1" t="n"/>
      <c r="M15" s="1" t="n"/>
      <c r="N15" s="1" t="n"/>
      <c r="O15" s="1" t="n"/>
      <c r="P15" s="1" t="n"/>
      <c r="Q15" s="1" t="n"/>
      <c r="R15" s="1" t="n"/>
    </row>
  </sheetData>
  <mergeCells count="1">
    <mergeCell ref="N4:Q6"/>
  </mergeCells>
  <pageMargins left="0.7" right="0.7" top="0.75" bottom="0.75" header="0.3" footer="0.3"/>
  <pageSetup orientation="landscape" scale="78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B1" zoomScaleNormal="100" workbookViewId="0">
      <selection activeCell="AK2" sqref="AK2:AN2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DATE('2027'!P8,1,1)</f>
        <v/>
      </c>
      <c r="AF2" s="29" t="n"/>
      <c r="AG2" s="149" t="inlineStr">
        <is>
          <t>Away: Lux
CBP - 2 weeks: 
Peds ER: Stanek
Med A: Mudondo &amp; Strand
OB: Johnson &amp; Hard</t>
        </is>
      </c>
      <c r="AK2" s="149" t="inlineStr">
        <is>
          <t xml:space="preserve">GYN/CM: Bower
NICU: 
R3 - Ortho: 
R2 - Peds: 
Derm: 
Ultrasound: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200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1" t="n"/>
      <c r="H6" s="202" t="n"/>
      <c r="I6" s="201" t="n"/>
      <c r="J6" s="202" t="n"/>
      <c r="K6" s="201" t="n"/>
      <c r="L6" s="204" t="n"/>
      <c r="M6" s="204" t="n"/>
      <c r="N6" s="202" t="n"/>
      <c r="O6" s="201" t="inlineStr">
        <is>
          <t>Hard
Bottke</t>
        </is>
      </c>
      <c r="P6" s="204" t="n"/>
      <c r="Q6" s="204" t="n"/>
      <c r="R6" s="204" t="n"/>
      <c r="S6" s="204" t="n"/>
      <c r="T6" s="204" t="n"/>
      <c r="U6" s="204" t="n"/>
      <c r="V6" s="202" t="n"/>
      <c r="W6" s="201" t="inlineStr">
        <is>
          <t>Wohlgemuth
Lux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/>
      </c>
      <c r="AI6" s="94">
        <f>COUNTIF($C$5:$AD$21,"*Oehm*")</f>
        <v/>
      </c>
      <c r="AJ6" s="94">
        <f>COUNTIF($C$5:$AD$21,"*Schutt*")</f>
        <v/>
      </c>
      <c r="AK6" s="94">
        <f>COUNTIF($C$5:$AD$21,"*Stanek*")</f>
        <v/>
      </c>
      <c r="AL6" s="94">
        <f>COUNTIF($C$5:$AD$21,"*Strand*")</f>
        <v/>
      </c>
      <c r="AM6" s="94">
        <f>COUNTIF($C$5:$AD$21,"*Wohlgemuth*")</f>
        <v/>
      </c>
      <c r="AN6" s="92">
        <f>SUM(AH6:AM6)</f>
        <v/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Strand
Bottke</t>
        </is>
      </c>
      <c r="D9" s="202" t="n"/>
      <c r="E9" s="203" t="inlineStr">
        <is>
          <t>Hard
Beutel</t>
        </is>
      </c>
      <c r="F9" s="202" t="n"/>
      <c r="G9" s="203" t="inlineStr">
        <is>
          <t>Wohlgemuth
Bower</t>
        </is>
      </c>
      <c r="H9" s="202" t="n"/>
      <c r="I9" s="203" t="inlineStr">
        <is>
          <t>Schutt
Beutel</t>
        </is>
      </c>
      <c r="J9" s="202" t="n"/>
      <c r="K9" s="203" t="inlineStr">
        <is>
          <t>Strand
Kendrick</t>
        </is>
      </c>
      <c r="L9" s="204" t="n"/>
      <c r="M9" s="204" t="n"/>
      <c r="N9" s="202" t="n"/>
      <c r="O9" s="203" t="inlineStr">
        <is>
          <t>Oehm
Beutel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Hard
Bower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/>
      </c>
      <c r="AI9" s="94">
        <f>COUNTIF($C$5:$AD$21,"*Bottke*")</f>
        <v/>
      </c>
      <c r="AJ9" s="94">
        <f>COUNTIF($C$5:$AD$21,"*Bower*")</f>
        <v/>
      </c>
      <c r="AK9" s="94">
        <f>COUNTIF($C$5:$AD$21,"*Gaspar*")</f>
        <v/>
      </c>
      <c r="AL9" s="94">
        <f>COUNTIF($C$5:$AD$21,"*Kendrick*")</f>
        <v/>
      </c>
      <c r="AM9" s="94">
        <f>COUNTIF($C$5:$AD$21,"*Patel*")</f>
        <v/>
      </c>
      <c r="AN9" s="94">
        <f>COUNTIF($C$5:$AD$21,"*Sublette*")</f>
        <v/>
      </c>
      <c r="AO9" s="92">
        <f>SUM(AH9:AN9)</f>
        <v/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Wohlgemuth
Beutel</t>
        </is>
      </c>
      <c r="D12" s="202" t="n"/>
      <c r="E12" s="203" t="inlineStr">
        <is>
          <t>Strand
Gaspar</t>
        </is>
      </c>
      <c r="F12" s="202" t="n"/>
      <c r="G12" s="203" t="inlineStr">
        <is>
          <t>Oehm
Mudondo</t>
        </is>
      </c>
      <c r="H12" s="202" t="n"/>
      <c r="I12" s="203" t="inlineStr">
        <is>
          <t>Strand
Beutel</t>
        </is>
      </c>
      <c r="J12" s="202" t="n"/>
      <c r="K12" s="203" t="inlineStr">
        <is>
          <t>Hard
Kendrick</t>
        </is>
      </c>
      <c r="L12" s="204" t="n"/>
      <c r="M12" s="204" t="n"/>
      <c r="N12" s="202" t="n"/>
      <c r="O12" s="203" t="inlineStr">
        <is>
          <t>Wohlgemuth
Sublette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Schutt
Gaspar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/>
      </c>
      <c r="AI12" s="94">
        <f>COUNTIF($C$5:$AD$21,"*Lux*")</f>
        <v/>
      </c>
      <c r="AJ12" s="94">
        <f>COUNTIF($C$5:$AD$21,"*Mautino*")</f>
        <v/>
      </c>
      <c r="AK12" s="94">
        <f>COUNTIF($C$5:$AD$21,"*Mudondo*")</f>
        <v/>
      </c>
      <c r="AL12" s="84">
        <f>SUM(AH12:AK12)</f>
        <v/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Wohlgemuth
Beutel</t>
        </is>
      </c>
      <c r="D15" s="202" t="n"/>
      <c r="E15" s="203" t="inlineStr">
        <is>
          <t>Strand
Gaspar</t>
        </is>
      </c>
      <c r="F15" s="202" t="n"/>
      <c r="G15" s="203" t="inlineStr">
        <is>
          <t>Schutt
Kendrick</t>
        </is>
      </c>
      <c r="H15" s="202" t="n"/>
      <c r="I15" s="203" t="inlineStr">
        <is>
          <t>Wohlgemuth
Mautino</t>
        </is>
      </c>
      <c r="J15" s="202" t="n"/>
      <c r="K15" s="203" t="inlineStr">
        <is>
          <t>Schutt
Sublette</t>
        </is>
      </c>
      <c r="L15" s="204" t="n"/>
      <c r="M15" s="204" t="n"/>
      <c r="N15" s="202" t="n"/>
      <c r="O15" s="203" t="inlineStr">
        <is>
          <t>Strand
Mautino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Oehm
Sublette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45" t="n"/>
      <c r="J16" s="46" t="n"/>
      <c r="K16" s="45" t="n"/>
      <c r="L16" s="47" t="n"/>
      <c r="M16" s="47" t="n"/>
      <c r="N16" s="46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N17" s="210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3" t="inlineStr">
        <is>
          <t>Wohlgemuth
Beutel</t>
        </is>
      </c>
      <c r="D18" s="202" t="n"/>
      <c r="E18" s="203" t="inlineStr">
        <is>
          <t>Strand
Gaspar</t>
        </is>
      </c>
      <c r="F18" s="202" t="n"/>
      <c r="G18" s="203" t="inlineStr">
        <is>
          <t>Schutt
Sublette</t>
        </is>
      </c>
      <c r="H18" s="202" t="n"/>
      <c r="I18" s="203" t="inlineStr">
        <is>
          <t>Hard
Beutel</t>
        </is>
      </c>
      <c r="J18" s="202" t="n"/>
      <c r="K18" s="131" t="inlineStr">
        <is>
          <t>Strand
Sublette</t>
        </is>
      </c>
      <c r="L18" s="204" t="n"/>
      <c r="M18" s="204" t="n"/>
      <c r="N18" s="128" t="n"/>
      <c r="O18" s="203" t="inlineStr">
        <is>
          <t>Oehm
Kendrick</t>
        </is>
      </c>
      <c r="P18" s="204" t="n"/>
      <c r="Q18" s="204" t="n"/>
      <c r="R18" s="204" t="n"/>
      <c r="S18" s="204" t="n"/>
      <c r="T18" s="204" t="n"/>
      <c r="U18" s="204" t="n"/>
      <c r="V18" s="202" t="n"/>
      <c r="W18" s="203" t="inlineStr">
        <is>
          <t>Strand
Bower</t>
        </is>
      </c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45" t="n"/>
      <c r="J19" s="46" t="n"/>
      <c r="K19" s="45" t="n"/>
      <c r="L19" s="47" t="n"/>
      <c r="M19" s="47" t="n"/>
      <c r="N19" s="46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N20" s="210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3" t="inlineStr">
        <is>
          <t>Schutt
Sublette</t>
        </is>
      </c>
      <c r="D21" s="202" t="n"/>
      <c r="E21" s="201" t="n"/>
      <c r="F21" s="202" t="n"/>
      <c r="G21" s="201" t="n"/>
      <c r="H21" s="202" t="n"/>
      <c r="I21" s="201" t="n"/>
      <c r="J21" s="202" t="n"/>
      <c r="K21" s="126" t="n"/>
      <c r="L21" s="204" t="n"/>
      <c r="M21" s="204" t="n"/>
      <c r="N21" s="128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>
      <c r="A32" s="1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O33" s="216" t="n"/>
      <c r="P33" s="217" t="n"/>
      <c r="Q33" s="217" t="n"/>
      <c r="R33" s="217" t="n"/>
      <c r="S33" s="217" t="n"/>
      <c r="T33" s="217" t="n"/>
      <c r="U33" s="216" t="n"/>
      <c r="V33" s="59" t="n"/>
      <c r="W33" s="59" t="n"/>
      <c r="X33" s="216" t="n"/>
      <c r="Y33" s="217" t="n"/>
      <c r="Z33" s="217" t="n"/>
      <c r="AA33" s="217" t="n"/>
      <c r="AB33" s="217" t="n"/>
      <c r="AC33" s="217" t="n"/>
      <c r="AD33" s="217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/>
      </c>
      <c r="F38" s="104">
        <f>COUNTIF($I$5:$N$21,"*Hard*")</f>
        <v/>
      </c>
      <c r="G38" s="104">
        <f>COUNTIF($O$5:$V$21,"*Hard*")</f>
        <v/>
      </c>
      <c r="H38" s="104">
        <f>COUNTIF($C$5:$D$21,"*Hard*")</f>
        <v/>
      </c>
      <c r="I38" s="104">
        <f>COUNTIF($W$5:$AD$21,"*Hard*")</f>
        <v/>
      </c>
    </row>
    <row r="39">
      <c r="D39" s="101" t="inlineStr">
        <is>
          <t>Oehm</t>
        </is>
      </c>
      <c r="E39" s="104">
        <f>COUNTIF($E$5:$H$21,"*Oehm*")</f>
        <v/>
      </c>
      <c r="F39" s="104">
        <f>COUNTIF($I$5:$N$21,"*Oehm*")</f>
        <v/>
      </c>
      <c r="G39" s="104">
        <f>COUNTIF($O$5:$V$21,"*Oehm*")</f>
        <v/>
      </c>
      <c r="H39" s="104">
        <f>COUNTIF($C$5:$D$21,"*Oehm*")</f>
        <v/>
      </c>
      <c r="I39" s="104">
        <f>COUNTIF($W$5:$AD$21,"*Oehm*")</f>
        <v/>
      </c>
    </row>
    <row r="40">
      <c r="D40" s="101" t="inlineStr">
        <is>
          <t>Schutt</t>
        </is>
      </c>
      <c r="E40" s="104">
        <f>COUNTIF($E$5:$H$21,"*Schutt*")</f>
        <v/>
      </c>
      <c r="F40" s="104">
        <f>COUNTIF($I$5:$N$21,"*Schutt*")</f>
        <v/>
      </c>
      <c r="G40" s="104">
        <f>COUNTIF($O$5:$V$21,"*Schutt*")</f>
        <v/>
      </c>
      <c r="H40" s="104">
        <f>COUNTIF($C$5:$D$21,"*Schutt*")</f>
        <v/>
      </c>
      <c r="I40" s="104">
        <f>COUNTIF($W$5:$AD$21,"*Schutt*")</f>
        <v/>
      </c>
    </row>
    <row r="41">
      <c r="D41" s="101" t="inlineStr">
        <is>
          <t>Stanek</t>
        </is>
      </c>
      <c r="E41" s="104">
        <f>COUNTIF($E$5:$H$21,"*Stanek*")</f>
        <v/>
      </c>
      <c r="F41" s="104">
        <f>COUNTIF($I$5:$N$21,"*Stanek*")</f>
        <v/>
      </c>
      <c r="G41" s="104">
        <f>COUNTIF($O$5:$V$21,"*Stanek*")</f>
        <v/>
      </c>
      <c r="H41" s="104">
        <f>COUNTIF($C$5:$D$21,"*Stanek*")</f>
        <v/>
      </c>
      <c r="I41" s="104">
        <f>COUNTIF($W$5:$AD$21,"*Stanek*")</f>
        <v/>
      </c>
    </row>
    <row r="42">
      <c r="D42" s="101" t="inlineStr">
        <is>
          <t>Strand</t>
        </is>
      </c>
      <c r="E42" s="104">
        <f>COUNTIF($E$5:$H$21,"*Strand*")</f>
        <v/>
      </c>
      <c r="F42" s="104">
        <f>COUNTIF($I$5:$N$21,"*Strand*")</f>
        <v/>
      </c>
      <c r="G42" s="104">
        <f>COUNTIF($O$5:$V$21,"*Strand*")</f>
        <v/>
      </c>
      <c r="H42" s="104">
        <f>COUNTIF($C$5:$D$21,"*Strand*")</f>
        <v/>
      </c>
      <c r="I42" s="104">
        <f>COUNTIF($W$5:$AD$21,"*Strand*")</f>
        <v/>
      </c>
    </row>
    <row r="43">
      <c r="D43" s="101" t="inlineStr">
        <is>
          <t>Wohlgemuth</t>
        </is>
      </c>
      <c r="E43" s="104">
        <f>COUNTIF($E$5:$H$21,"*Wohlgemuth*")</f>
        <v/>
      </c>
      <c r="F43" s="104">
        <f>COUNTIF($I$5:$N$21,"*Wohlgemuth*")</f>
        <v/>
      </c>
      <c r="G43" s="104">
        <f>COUNTIF($O$5:$V$21,"*Wohlgemuth*")</f>
        <v/>
      </c>
      <c r="H43" s="104">
        <f>COUNTIF($C$5:$D$21,"*Wohlgemuth*")</f>
        <v/>
      </c>
      <c r="I43" s="104">
        <f>COUNTIF($W$5:$AD$21,"*Wohlgemuth*")</f>
        <v/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/>
      </c>
      <c r="F45" s="106">
        <f>COUNTIF($I$5:$N$21,"*Beutel*")</f>
        <v/>
      </c>
      <c r="G45" s="106">
        <f>COUNTIF($O$5:$V$21,"*Beutel*")</f>
        <v/>
      </c>
      <c r="H45" s="106">
        <f>COUNTIF($C$5:$D$21,"*Beutel*")</f>
        <v/>
      </c>
      <c r="I45" s="106">
        <f>COUNTIF($W$5:$AD$21,"*Beutel*")</f>
        <v/>
      </c>
    </row>
    <row r="46">
      <c r="D46" s="102" t="inlineStr">
        <is>
          <t>Bottke</t>
        </is>
      </c>
      <c r="E46" s="106">
        <f>COUNTIF($E$5:$H$21,"*Bottke*")</f>
        <v/>
      </c>
      <c r="F46" s="106">
        <f>COUNTIF($I$5:$N$21,"*Bottke*")</f>
        <v/>
      </c>
      <c r="G46" s="106">
        <f>COUNTIF($O$5:$V$21,"*Bottke*")</f>
        <v/>
      </c>
      <c r="H46" s="106">
        <f>COUNTIF($C$5:$D$21,"*Bottke*")</f>
        <v/>
      </c>
      <c r="I46" s="106">
        <f>COUNTIF($W$5:$AD$21,"*Bottke*")</f>
        <v/>
      </c>
    </row>
    <row r="47">
      <c r="D47" s="102" t="inlineStr">
        <is>
          <t>Bower</t>
        </is>
      </c>
      <c r="E47" s="106">
        <f>COUNTIF($E$5:$H$21,"*Bower*")</f>
        <v/>
      </c>
      <c r="F47" s="106">
        <f>COUNTIF($I$5:$N$21,"*Bower*")</f>
        <v/>
      </c>
      <c r="G47" s="106">
        <f>COUNTIF($O$5:$V$21,"*Bower*")</f>
        <v/>
      </c>
      <c r="H47" s="106">
        <f>COUNTIF($C$5:$D$21,"*Bower*")</f>
        <v/>
      </c>
      <c r="I47" s="106">
        <f>COUNTIF($W$5:$AD$21,"*Bower*")</f>
        <v/>
      </c>
    </row>
    <row r="48">
      <c r="D48" s="102" t="inlineStr">
        <is>
          <t>Gaspar</t>
        </is>
      </c>
      <c r="E48" s="106">
        <f>COUNTIF($E$5:$H$21,"*Gaspar*")</f>
        <v/>
      </c>
      <c r="F48" s="106">
        <f>COUNTIF($I$5:$N$21,"*Gaspar*")</f>
        <v/>
      </c>
      <c r="G48" s="106">
        <f>COUNTIF($O$5:$V$21,"*Gaspar*")</f>
        <v/>
      </c>
      <c r="H48" s="106">
        <f>COUNTIF($C$5:$D$21,"*Gaspar*")</f>
        <v/>
      </c>
      <c r="I48" s="106">
        <f>COUNTIF($W$5:$AD$21,"*Gaspar*")</f>
        <v/>
      </c>
    </row>
    <row r="49">
      <c r="D49" s="102" t="inlineStr">
        <is>
          <t>Kendrick</t>
        </is>
      </c>
      <c r="E49" s="106">
        <f>COUNTIF($E$5:$H$21,"*Kendrick*")</f>
        <v/>
      </c>
      <c r="F49" s="106">
        <f>COUNTIF($I$5:$N$21,"*Kendrick*")</f>
        <v/>
      </c>
      <c r="G49" s="106">
        <f>COUNTIF($O$5:$V$21,"*Kendrick*")</f>
        <v/>
      </c>
      <c r="H49" s="106">
        <f>COUNTIF($C$5:$D$21,"*Kendrick*")</f>
        <v/>
      </c>
      <c r="I49" s="106">
        <f>COUNTIF($W$5:$AD$21,"*Kendrick*")</f>
        <v/>
      </c>
    </row>
    <row r="50">
      <c r="D50" s="102" t="inlineStr">
        <is>
          <t>Patel</t>
        </is>
      </c>
      <c r="E50" s="106">
        <f>COUNTIF($E$5:$H$21,"*Patel*")</f>
        <v/>
      </c>
      <c r="F50" s="106">
        <f>COUNTIF($I$5:$N$21,"*Patel*")</f>
        <v/>
      </c>
      <c r="G50" s="106">
        <f>COUNTIF($O$5:$V$21,"*Patel*")</f>
        <v/>
      </c>
      <c r="H50" s="106">
        <f>COUNTIF($C$5:$D$21,"*Patel*")</f>
        <v/>
      </c>
      <c r="I50" s="106">
        <f>COUNTIF($W$5:$AD$21,"*Patel*")</f>
        <v/>
      </c>
    </row>
    <row r="51">
      <c r="D51" s="102" t="inlineStr">
        <is>
          <t>Sublette</t>
        </is>
      </c>
      <c r="E51" s="106">
        <f>COUNTIF($E$5:$H$21,"*Sublette*")</f>
        <v/>
      </c>
      <c r="F51" s="106">
        <f>COUNTIF($I$5:$N$21,"*Sublette*")</f>
        <v/>
      </c>
      <c r="G51" s="106">
        <f>COUNTIF($O$5:$V$21,"*Sublette*")</f>
        <v/>
      </c>
      <c r="H51" s="106">
        <f>COUNTIF($C$5:$D$21,"*Sublette*")</f>
        <v/>
      </c>
      <c r="I51" s="106">
        <f>COUNTIF($W$5:$AD$21,"*Sublette*")</f>
        <v/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/>
      </c>
      <c r="F53" s="107">
        <f>COUNTIF($I$5:$N$21,"*Johnson*")</f>
        <v/>
      </c>
      <c r="G53" s="107">
        <f>COUNTIF($O$5:$V$21,"*Johnson*")</f>
        <v/>
      </c>
      <c r="H53" s="107">
        <f>COUNTIF($C$5:$D$21,"*Johnson*")</f>
        <v/>
      </c>
      <c r="I53" s="107">
        <f>COUNTIF($W$5:$AD$21,"*Johnson*")</f>
        <v/>
      </c>
    </row>
    <row r="54">
      <c r="D54" s="103" t="inlineStr">
        <is>
          <t>Lux</t>
        </is>
      </c>
      <c r="E54" s="107">
        <f>COUNTIF($E$5:$H$21,"*Lux*")</f>
        <v/>
      </c>
      <c r="F54" s="107">
        <f>COUNTIF($I$5:$N$21,"*Lux*")</f>
        <v/>
      </c>
      <c r="G54" s="107">
        <f>COUNTIF($O$5:$V$21,"*Lux*")</f>
        <v/>
      </c>
      <c r="H54" s="107">
        <f>COUNTIF($C$5:$D$21,"*Lux*")</f>
        <v/>
      </c>
      <c r="I54" s="107">
        <f>COUNTIF($W$5:$AD$21,"*Lux*")</f>
        <v/>
      </c>
    </row>
    <row r="55">
      <c r="D55" s="103" t="inlineStr">
        <is>
          <t>Mautino</t>
        </is>
      </c>
      <c r="E55" s="107">
        <f>COUNTIF($E$5:$H$21,"*Mautino*")</f>
        <v/>
      </c>
      <c r="F55" s="107">
        <f>COUNTIF($I$5:$N$21,"*Mautino*")</f>
        <v/>
      </c>
      <c r="G55" s="107">
        <f>COUNTIF($O$5:$V$21,"*Mautino*")</f>
        <v/>
      </c>
      <c r="H55" s="107">
        <f>COUNTIF($C$5:$D$21,"*Mautino*")</f>
        <v/>
      </c>
      <c r="I55" s="107">
        <f>COUNTIF($W$5:$AD$21,"*Mautino*")</f>
        <v/>
      </c>
    </row>
    <row r="56">
      <c r="D56" s="103" t="inlineStr">
        <is>
          <t>Mudondo</t>
        </is>
      </c>
      <c r="E56" s="107">
        <f>COUNTIF($E$5:$H$21,"*Mudondo*")</f>
        <v/>
      </c>
      <c r="F56" s="107">
        <f>COUNTIF($I$5:$N$21,"*Mudondo*")</f>
        <v/>
      </c>
      <c r="G56" s="107">
        <f>COUNTIF($O$5:$V$21,"*Mudondo*")</f>
        <v/>
      </c>
      <c r="H56" s="107">
        <f>COUNTIF($C$5:$D$21,"*Mudondo*")</f>
        <v/>
      </c>
      <c r="I56" s="107">
        <f>COUNTIF($W$5:$AD$21,"*Mudondo*")</f>
        <v/>
      </c>
    </row>
    <row r="57">
      <c r="E57" s="95">
        <f>SUM(E38:E56)</f>
        <v/>
      </c>
      <c r="F57" s="95">
        <f>SUM(F38:F56)</f>
        <v/>
      </c>
      <c r="G57" s="95">
        <f>SUM(G38:G56)</f>
        <v/>
      </c>
      <c r="H57" s="95">
        <f>SUM(H38:H56)</f>
        <v/>
      </c>
      <c r="I57" s="95">
        <f>SUM(I38:I56)</f>
        <v/>
      </c>
    </row>
  </sheetData>
  <mergeCells count="113">
    <mergeCell ref="G21:H21"/>
    <mergeCell ref="C6:D6"/>
    <mergeCell ref="C15:D15"/>
    <mergeCell ref="E8:F8"/>
    <mergeCell ref="O9:V9"/>
    <mergeCell ref="C27:K27"/>
    <mergeCell ref="W20:AD20"/>
    <mergeCell ref="O5:V5"/>
    <mergeCell ref="K17:M17"/>
    <mergeCell ref="G18:H18"/>
    <mergeCell ref="I18:J18"/>
    <mergeCell ref="W12:AD12"/>
    <mergeCell ref="C25:K26"/>
    <mergeCell ref="W9:AD9"/>
    <mergeCell ref="O12:V12"/>
    <mergeCell ref="AG5:AG6"/>
    <mergeCell ref="G20:H20"/>
    <mergeCell ref="I20:J20"/>
    <mergeCell ref="K5:M5"/>
    <mergeCell ref="O14:V14"/>
    <mergeCell ref="K20:M20"/>
    <mergeCell ref="K11:M11"/>
    <mergeCell ref="E12:F12"/>
    <mergeCell ref="O7:V7"/>
    <mergeCell ref="W4:AD4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K8:M8"/>
    <mergeCell ref="E4:F4"/>
    <mergeCell ref="G7:H7"/>
    <mergeCell ref="C7:D8"/>
    <mergeCell ref="I7:J7"/>
    <mergeCell ref="K14:M14"/>
    <mergeCell ref="K15:N15"/>
    <mergeCell ref="K7:M7"/>
    <mergeCell ref="K4:M4"/>
    <mergeCell ref="AG8:AG9"/>
    <mergeCell ref="K18:M18"/>
    <mergeCell ref="I8:J8"/>
    <mergeCell ref="I17:J17"/>
    <mergeCell ref="O17:V17"/>
    <mergeCell ref="O11:V11"/>
    <mergeCell ref="C10:D11"/>
    <mergeCell ref="C16:D17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K21:M21"/>
    <mergeCell ref="G8:H8"/>
    <mergeCell ref="E17:F17"/>
    <mergeCell ref="W5:AD5"/>
    <mergeCell ref="X25:AD25"/>
    <mergeCell ref="AG11:AG12"/>
    <mergeCell ref="G17:H17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G5:H5"/>
    <mergeCell ref="O21:V21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X25:AD25" showDropDown="0" showInputMessage="1" showErrorMessage="1" allowBlank="1" prompt="Next month calendar"/>
    <dataValidation sqref="O25:U25" showDropDown="0" showInputMessage="1" showErrorMessage="1" allowBlank="1" prompt="Previous month calendar"/>
    <dataValidation sqref="C25:K26" showDropDown="0" showInputMessage="1" showErrorMessage="1" allowBlank="1" prompt="Enter monthly notes in cells C24 to K28"/>
    <dataValidation sqref="C6:D6" showDropDown="0" showInputMessage="1" showErrorMessage="1" allowBlank="1" prompt="Enter daily notes below the calendar days, such as this cell"/>
    <dataValidation sqref="C4:D4" showDropDown="0" showInputMessage="1" showErrorMessage="1" allowBlank="1" prompt="To change the starting day of the week, go to cell P12 in About sheet"/>
    <dataValidation sqref="C5:D5" showDropDown="0" showInputMessage="1" showErrorMessage="1" allowBlank="1" prompt="Calendar days are automatically updated"/>
    <dataValidation sqref="C2:AD2" showDropDown="0" showInputMessage="1" showErrorMessage="1" allowBlank="1" prompt="To change the calendar year, go to cell P8 in About sheet"/>
  </dataValidations>
  <printOptions horizontalCentered="1"/>
  <pageMargins left="0.5" right="0.5" top="0.25" bottom="0.25" header="0.25" footer="0.25"/>
  <pageSetup orientation="landscape" scale="88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4" zoomScaleNormal="100" workbookViewId="0">
      <selection activeCell="O15" sqref="O15:V15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DATE('2027'!P8,2,1)</f>
        <v/>
      </c>
      <c r="AF2" s="29" t="n"/>
      <c r="AG2" s="149" t="inlineStr">
        <is>
          <t>Away: Johnson
CBP - 2 weeks: 
Peds ER: Oehm
Med A: Lux &amp; Wohlgemuth
OB: Mautino &amp; Schutt
L&amp;D: Gaspar</t>
        </is>
      </c>
      <c r="AK2" s="149" t="inlineStr">
        <is>
          <t xml:space="preserve">GYN/CM: Bottke
NICU: 
R3 - Ortho: 
R2 - Peds: Kendrick
Derm: Mudondo
Ultrasound: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3" t="inlineStr">
        <is>
          <t>Stanek
Bower</t>
        </is>
      </c>
      <c r="F6" s="202" t="n"/>
      <c r="G6" s="203" t="inlineStr">
        <is>
          <t>Hard
Lux</t>
        </is>
      </c>
      <c r="H6" s="202" t="n"/>
      <c r="I6" s="203" t="inlineStr">
        <is>
          <t>Schutt
Gaspar</t>
        </is>
      </c>
      <c r="J6" s="202" t="n"/>
      <c r="K6" s="203" t="inlineStr">
        <is>
          <t>Stanek
Lux</t>
        </is>
      </c>
      <c r="L6" s="204" t="n"/>
      <c r="M6" s="204" t="n"/>
      <c r="N6" s="202" t="n"/>
      <c r="O6" s="203" t="inlineStr">
        <is>
          <t>Wohlgemuth
Patel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Schutt
Mudondo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/>
      </c>
      <c r="AI6" s="94">
        <f>COUNTIF($C$5:$AD$21,"*Oehm*")</f>
        <v/>
      </c>
      <c r="AJ6" s="94">
        <f>COUNTIF($C$5:$AD$21,"*Schutt*")</f>
        <v/>
      </c>
      <c r="AK6" s="94">
        <f>COUNTIF($C$5:$AD$21,"*Stanek*")</f>
        <v/>
      </c>
      <c r="AL6" s="94">
        <f>COUNTIF($C$5:$AD$21,"*Strand*")</f>
        <v/>
      </c>
      <c r="AM6" s="94">
        <f>COUNTIF($C$5:$AD$21,"*Wohlgemuth*")</f>
        <v/>
      </c>
      <c r="AN6" s="92">
        <f>SUM(AH6:AM6)</f>
        <v/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Stanek
Bower</t>
        </is>
      </c>
      <c r="D9" s="202" t="n"/>
      <c r="E9" s="203" t="inlineStr">
        <is>
          <t>Wohlgemuth
Kendrick</t>
        </is>
      </c>
      <c r="F9" s="202" t="n"/>
      <c r="G9" s="203" t="inlineStr">
        <is>
          <t>Stanek
Bower</t>
        </is>
      </c>
      <c r="H9" s="202" t="n"/>
      <c r="I9" s="203" t="inlineStr">
        <is>
          <t>Strand
Gaspar</t>
        </is>
      </c>
      <c r="J9" s="202" t="n"/>
      <c r="K9" s="203" t="inlineStr">
        <is>
          <t>Hard
Mudondo</t>
        </is>
      </c>
      <c r="L9" s="204" t="n"/>
      <c r="M9" s="204" t="n"/>
      <c r="N9" s="202" t="n"/>
      <c r="O9" s="203" t="inlineStr">
        <is>
          <t>Strand
Patel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Wohlgemuth
Gaspar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/>
      </c>
      <c r="AI9" s="94">
        <f>COUNTIF($C$5:$AD$21,"*Bottke*")</f>
        <v/>
      </c>
      <c r="AJ9" s="94">
        <f>COUNTIF($C$5:$AD$21,"*Bower*")</f>
        <v/>
      </c>
      <c r="AK9" s="94">
        <f>COUNTIF($C$5:$AD$21,"*Gaspar*")</f>
        <v/>
      </c>
      <c r="AL9" s="94">
        <f>COUNTIF($C$5:$AD$21,"*Kendrick*")</f>
        <v/>
      </c>
      <c r="AM9" s="94">
        <f>COUNTIF($C$5:$AD$21,"*Patel*")</f>
        <v/>
      </c>
      <c r="AN9" s="94">
        <f>COUNTIF($C$5:$AD$21,"*Sublette*")</f>
        <v/>
      </c>
      <c r="AO9" s="92">
        <f>SUM(AH9:AN9)</f>
        <v/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Stanek
Beutel</t>
        </is>
      </c>
      <c r="D12" s="202" t="n"/>
      <c r="E12" s="203" t="inlineStr">
        <is>
          <t>Wohlgemuth
Gaspar</t>
        </is>
      </c>
      <c r="F12" s="202" t="n"/>
      <c r="G12" s="203" t="inlineStr">
        <is>
          <t>Strand
Mautino</t>
        </is>
      </c>
      <c r="H12" s="202" t="n"/>
      <c r="I12" s="203" t="inlineStr">
        <is>
          <t>Stanek
Patel</t>
        </is>
      </c>
      <c r="J12" s="202" t="n"/>
      <c r="K12" s="203" t="inlineStr">
        <is>
          <t>Wohlgemuth
Beutel</t>
        </is>
      </c>
      <c r="L12" s="204" t="n"/>
      <c r="M12" s="204" t="n"/>
      <c r="N12" s="202" t="n"/>
      <c r="O12" s="203" t="inlineStr">
        <is>
          <t>Stanek
Gaspar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Strand
Patel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/>
      </c>
      <c r="AI12" s="94">
        <f>COUNTIF($C$5:$AD$21,"*Lux*")</f>
        <v/>
      </c>
      <c r="AJ12" s="94">
        <f>COUNTIF($C$5:$AD$21,"*Mautino*")</f>
        <v/>
      </c>
      <c r="AK12" s="94">
        <f>COUNTIF($C$5:$AD$21,"*Mudondo*")</f>
        <v/>
      </c>
      <c r="AL12" s="84">
        <f>SUM(AH12:AK12)</f>
        <v/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Stanek
Kendrick</t>
        </is>
      </c>
      <c r="D15" s="202" t="n"/>
      <c r="E15" s="203" t="inlineStr">
        <is>
          <t>Strand
Beutel</t>
        </is>
      </c>
      <c r="F15" s="202" t="n"/>
      <c r="G15" s="203" t="inlineStr">
        <is>
          <t>Stanek
Patel</t>
        </is>
      </c>
      <c r="H15" s="202" t="n"/>
      <c r="I15" s="203" t="inlineStr">
        <is>
          <t>Schutt
Beutel</t>
        </is>
      </c>
      <c r="J15" s="202" t="n"/>
      <c r="K15" s="203" t="inlineStr">
        <is>
          <t>Wohlgemuth
Bottke</t>
        </is>
      </c>
      <c r="L15" s="204" t="n"/>
      <c r="M15" s="204" t="n"/>
      <c r="N15" s="202" t="n"/>
      <c r="O15" s="203" t="inlineStr">
        <is>
          <t>Hard
Gaspar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Wohlgemuth
Sublette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45" t="n"/>
      <c r="J16" s="46" t="n"/>
      <c r="K16" s="45" t="n"/>
      <c r="L16" s="47" t="n"/>
      <c r="M16" s="47" t="n"/>
      <c r="N16" s="46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N17" s="210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3" t="inlineStr">
        <is>
          <t>Hard
Bottke</t>
        </is>
      </c>
      <c r="D18" s="202" t="n"/>
      <c r="E18" s="201" t="n"/>
      <c r="F18" s="202" t="n"/>
      <c r="G18" s="201" t="n"/>
      <c r="H18" s="202" t="n"/>
      <c r="I18" s="201" t="n"/>
      <c r="J18" s="202" t="n"/>
      <c r="K18" s="126" t="n"/>
      <c r="L18" s="204" t="n"/>
      <c r="M18" s="204" t="n"/>
      <c r="N18" s="128" t="n"/>
      <c r="O18" s="201" t="n"/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45" t="n"/>
      <c r="J19" s="46" t="n"/>
      <c r="K19" s="45" t="n"/>
      <c r="L19" s="47" t="n"/>
      <c r="M19" s="47" t="n"/>
      <c r="N19" s="46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N20" s="210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126" t="n"/>
      <c r="L21" s="204" t="n"/>
      <c r="M21" s="204" t="n"/>
      <c r="N21" s="128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>
      <c r="A32" s="1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O33" s="216" t="n"/>
      <c r="P33" s="217" t="n"/>
      <c r="Q33" s="217" t="n"/>
      <c r="R33" s="217" t="n"/>
      <c r="S33" s="217" t="n"/>
      <c r="T33" s="217" t="n"/>
      <c r="U33" s="216" t="n"/>
      <c r="V33" s="59" t="n"/>
      <c r="W33" s="59" t="n"/>
      <c r="X33" s="216" t="n"/>
      <c r="Y33" s="217" t="n"/>
      <c r="Z33" s="217" t="n"/>
      <c r="AA33" s="217" t="n"/>
      <c r="AB33" s="217" t="n"/>
      <c r="AC33" s="217" t="n"/>
      <c r="AD33" s="217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/>
      </c>
      <c r="F38" s="104">
        <f>COUNTIF($I$5:$N$21,"*Hard*")</f>
        <v/>
      </c>
      <c r="G38" s="104">
        <f>COUNTIF($O$5:$V$21,"*Hard*")</f>
        <v/>
      </c>
      <c r="H38" s="104">
        <f>COUNTIF($C$5:$D$21,"*Hard*")</f>
        <v/>
      </c>
      <c r="I38" s="104">
        <f>COUNTIF($W$5:$AD$21,"*Hard*")</f>
        <v/>
      </c>
    </row>
    <row r="39">
      <c r="D39" s="101" t="inlineStr">
        <is>
          <t>Oehm</t>
        </is>
      </c>
      <c r="E39" s="104">
        <f>COUNTIF($E$5:$H$21,"*Oehm*")</f>
        <v/>
      </c>
      <c r="F39" s="104">
        <f>COUNTIF($I$5:$N$21,"*Oehm*")</f>
        <v/>
      </c>
      <c r="G39" s="104">
        <f>COUNTIF($O$5:$V$21,"*Oehm*")</f>
        <v/>
      </c>
      <c r="H39" s="104">
        <f>COUNTIF($C$5:$D$21,"*Oehm*")</f>
        <v/>
      </c>
      <c r="I39" s="104">
        <f>COUNTIF($W$5:$AD$21,"*Oehm*")</f>
        <v/>
      </c>
    </row>
    <row r="40">
      <c r="D40" s="101" t="inlineStr">
        <is>
          <t>Schutt</t>
        </is>
      </c>
      <c r="E40" s="104">
        <f>COUNTIF($E$5:$H$21,"*Schutt*")</f>
        <v/>
      </c>
      <c r="F40" s="104">
        <f>COUNTIF($I$5:$N$21,"*Schutt*")</f>
        <v/>
      </c>
      <c r="G40" s="104">
        <f>COUNTIF($O$5:$V$21,"*Schutt*")</f>
        <v/>
      </c>
      <c r="H40" s="104">
        <f>COUNTIF($C$5:$D$21,"*Schutt*")</f>
        <v/>
      </c>
      <c r="I40" s="104">
        <f>COUNTIF($W$5:$AD$21,"*Schutt*")</f>
        <v/>
      </c>
    </row>
    <row r="41">
      <c r="D41" s="101" t="inlineStr">
        <is>
          <t>Stanek</t>
        </is>
      </c>
      <c r="E41" s="104">
        <f>COUNTIF($E$5:$H$21,"*Stanek*")</f>
        <v/>
      </c>
      <c r="F41" s="104">
        <f>COUNTIF($I$5:$N$21,"*Stanek*")</f>
        <v/>
      </c>
      <c r="G41" s="104">
        <f>COUNTIF($O$5:$V$21,"*Stanek*")</f>
        <v/>
      </c>
      <c r="H41" s="104">
        <f>COUNTIF($C$5:$D$21,"*Stanek*")</f>
        <v/>
      </c>
      <c r="I41" s="104">
        <f>COUNTIF($W$5:$AD$21,"*Stanek*")</f>
        <v/>
      </c>
    </row>
    <row r="42">
      <c r="D42" s="101" t="inlineStr">
        <is>
          <t>Strand</t>
        </is>
      </c>
      <c r="E42" s="104">
        <f>COUNTIF($E$5:$H$21,"*Strand*")</f>
        <v/>
      </c>
      <c r="F42" s="104">
        <f>COUNTIF($I$5:$N$21,"*Strand*")</f>
        <v/>
      </c>
      <c r="G42" s="104">
        <f>COUNTIF($O$5:$V$21,"*Strand*")</f>
        <v/>
      </c>
      <c r="H42" s="104">
        <f>COUNTIF($C$5:$D$21,"*Strand*")</f>
        <v/>
      </c>
      <c r="I42" s="104">
        <f>COUNTIF($W$5:$AD$21,"*Strand*")</f>
        <v/>
      </c>
    </row>
    <row r="43">
      <c r="D43" s="101" t="inlineStr">
        <is>
          <t>Wohlgemuth</t>
        </is>
      </c>
      <c r="E43" s="104">
        <f>COUNTIF($E$5:$H$21,"*Wohlgemuth*")</f>
        <v/>
      </c>
      <c r="F43" s="104">
        <f>COUNTIF($I$5:$N$21,"*Wohlgemuth*")</f>
        <v/>
      </c>
      <c r="G43" s="104">
        <f>COUNTIF($O$5:$V$21,"*Wohlgemuth*")</f>
        <v/>
      </c>
      <c r="H43" s="104">
        <f>COUNTIF($C$5:$D$21,"*Wohlgemuth*")</f>
        <v/>
      </c>
      <c r="I43" s="104">
        <f>COUNTIF($W$5:$AD$21,"*Wohlgemuth*")</f>
        <v/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/>
      </c>
      <c r="F45" s="106">
        <f>COUNTIF($I$5:$N$21,"*Beutel*")</f>
        <v/>
      </c>
      <c r="G45" s="106">
        <f>COUNTIF($O$5:$V$21,"*Beutel*")</f>
        <v/>
      </c>
      <c r="H45" s="106">
        <f>COUNTIF($C$5:$D$21,"*Beutel*")</f>
        <v/>
      </c>
      <c r="I45" s="106">
        <f>COUNTIF($W$5:$AD$21,"*Beutel*")</f>
        <v/>
      </c>
    </row>
    <row r="46">
      <c r="D46" s="102" t="inlineStr">
        <is>
          <t>Bottke</t>
        </is>
      </c>
      <c r="E46" s="106">
        <f>COUNTIF($E$5:$H$21,"*Bottke*")</f>
        <v/>
      </c>
      <c r="F46" s="106">
        <f>COUNTIF($I$5:$N$21,"*Bottke*")</f>
        <v/>
      </c>
      <c r="G46" s="106">
        <f>COUNTIF($O$5:$V$21,"*Bottke*")</f>
        <v/>
      </c>
      <c r="H46" s="106">
        <f>COUNTIF($C$5:$D$21,"*Bottke*")</f>
        <v/>
      </c>
      <c r="I46" s="106">
        <f>COUNTIF($W$5:$AD$21,"*Bottke*")</f>
        <v/>
      </c>
    </row>
    <row r="47">
      <c r="D47" s="102" t="inlineStr">
        <is>
          <t>Bower</t>
        </is>
      </c>
      <c r="E47" s="106">
        <f>COUNTIF($E$5:$H$21,"*Bower*")</f>
        <v/>
      </c>
      <c r="F47" s="106">
        <f>COUNTIF($I$5:$N$21,"*Bower*")</f>
        <v/>
      </c>
      <c r="G47" s="106">
        <f>COUNTIF($O$5:$V$21,"*Bower*")</f>
        <v/>
      </c>
      <c r="H47" s="106">
        <f>COUNTIF($C$5:$D$21,"*Bower*")</f>
        <v/>
      </c>
      <c r="I47" s="106">
        <f>COUNTIF($W$5:$AD$21,"*Bower*")</f>
        <v/>
      </c>
    </row>
    <row r="48">
      <c r="D48" s="102" t="inlineStr">
        <is>
          <t>Gaspar</t>
        </is>
      </c>
      <c r="E48" s="106">
        <f>COUNTIF($E$5:$H$21,"*Gaspar*")</f>
        <v/>
      </c>
      <c r="F48" s="106">
        <f>COUNTIF($I$5:$N$21,"*Gaspar*")</f>
        <v/>
      </c>
      <c r="G48" s="106">
        <f>COUNTIF($O$5:$V$21,"*Gaspar*")</f>
        <v/>
      </c>
      <c r="H48" s="106">
        <f>COUNTIF($C$5:$D$21,"*Gaspar*")</f>
        <v/>
      </c>
      <c r="I48" s="106">
        <f>COUNTIF($W$5:$AD$21,"*Gaspar*")</f>
        <v/>
      </c>
    </row>
    <row r="49">
      <c r="D49" s="102" t="inlineStr">
        <is>
          <t>Kendrick</t>
        </is>
      </c>
      <c r="E49" s="106">
        <f>COUNTIF($E$5:$H$21,"*Kendrick*")</f>
        <v/>
      </c>
      <c r="F49" s="106">
        <f>COUNTIF($I$5:$N$21,"*Kendrick*")</f>
        <v/>
      </c>
      <c r="G49" s="106">
        <f>COUNTIF($O$5:$V$21,"*Kendrick*")</f>
        <v/>
      </c>
      <c r="H49" s="106">
        <f>COUNTIF($C$5:$D$21,"*Kendrick*")</f>
        <v/>
      </c>
      <c r="I49" s="106">
        <f>COUNTIF($W$5:$AD$21,"*Kendrick*")</f>
        <v/>
      </c>
    </row>
    <row r="50">
      <c r="D50" s="102" t="inlineStr">
        <is>
          <t>Patel</t>
        </is>
      </c>
      <c r="E50" s="106">
        <f>COUNTIF($E$5:$H$21,"*Patel*")</f>
        <v/>
      </c>
      <c r="F50" s="106">
        <f>COUNTIF($I$5:$N$21,"*Patel*")</f>
        <v/>
      </c>
      <c r="G50" s="106">
        <f>COUNTIF($O$5:$V$21,"*Patel*")</f>
        <v/>
      </c>
      <c r="H50" s="106">
        <f>COUNTIF($C$5:$D$21,"*Patel*")</f>
        <v/>
      </c>
      <c r="I50" s="106">
        <f>COUNTIF($W$5:$AD$21,"*Patel*")</f>
        <v/>
      </c>
    </row>
    <row r="51">
      <c r="D51" s="102" t="inlineStr">
        <is>
          <t>Sublette</t>
        </is>
      </c>
      <c r="E51" s="106">
        <f>COUNTIF($E$5:$H$21,"*Sublette*")</f>
        <v/>
      </c>
      <c r="F51" s="106">
        <f>COUNTIF($I$5:$N$21,"*Sublette*")</f>
        <v/>
      </c>
      <c r="G51" s="106">
        <f>COUNTIF($O$5:$V$21,"*Sublette*")</f>
        <v/>
      </c>
      <c r="H51" s="106">
        <f>COUNTIF($C$5:$D$21,"*Sublette*")</f>
        <v/>
      </c>
      <c r="I51" s="106">
        <f>COUNTIF($W$5:$AD$21,"*Sublette*")</f>
        <v/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/>
      </c>
      <c r="F53" s="107">
        <f>COUNTIF($I$5:$N$21,"*Johnson*")</f>
        <v/>
      </c>
      <c r="G53" s="107">
        <f>COUNTIF($O$5:$V$21,"*Johnson*")</f>
        <v/>
      </c>
      <c r="H53" s="107">
        <f>COUNTIF($C$5:$D$21,"*Johnson*")</f>
        <v/>
      </c>
      <c r="I53" s="107">
        <f>COUNTIF($W$5:$AD$21,"*Johnson*")</f>
        <v/>
      </c>
    </row>
    <row r="54">
      <c r="D54" s="103" t="inlineStr">
        <is>
          <t>Lux</t>
        </is>
      </c>
      <c r="E54" s="107">
        <f>COUNTIF($E$5:$H$21,"*Lux*")</f>
        <v/>
      </c>
      <c r="F54" s="107">
        <f>COUNTIF($I$5:$N$21,"*Lux*")</f>
        <v/>
      </c>
      <c r="G54" s="107">
        <f>COUNTIF($O$5:$V$21,"*Lux*")</f>
        <v/>
      </c>
      <c r="H54" s="107">
        <f>COUNTIF($C$5:$D$21,"*Lux*")</f>
        <v/>
      </c>
      <c r="I54" s="107">
        <f>COUNTIF($W$5:$AD$21,"*Lux*")</f>
        <v/>
      </c>
    </row>
    <row r="55">
      <c r="D55" s="103" t="inlineStr">
        <is>
          <t>Mautino</t>
        </is>
      </c>
      <c r="E55" s="107">
        <f>COUNTIF($E$5:$H$21,"*Mautino*")</f>
        <v/>
      </c>
      <c r="F55" s="107">
        <f>COUNTIF($I$5:$N$21,"*Mautino*")</f>
        <v/>
      </c>
      <c r="G55" s="107">
        <f>COUNTIF($O$5:$V$21,"*Mautino*")</f>
        <v/>
      </c>
      <c r="H55" s="107">
        <f>COUNTIF($C$5:$D$21,"*Mautino*")</f>
        <v/>
      </c>
      <c r="I55" s="107">
        <f>COUNTIF($W$5:$AD$21,"*Mautino*")</f>
        <v/>
      </c>
    </row>
    <row r="56">
      <c r="D56" s="103" t="inlineStr">
        <is>
          <t>Mudondo</t>
        </is>
      </c>
      <c r="E56" s="107">
        <f>COUNTIF($E$5:$H$21,"*Mudondo*")</f>
        <v/>
      </c>
      <c r="F56" s="107">
        <f>COUNTIF($I$5:$N$21,"*Mudondo*")</f>
        <v/>
      </c>
      <c r="G56" s="107">
        <f>COUNTIF($O$5:$V$21,"*Mudondo*")</f>
        <v/>
      </c>
      <c r="H56" s="107">
        <f>COUNTIF($C$5:$D$21,"*Mudondo*")</f>
        <v/>
      </c>
      <c r="I56" s="107">
        <f>COUNTIF($W$5:$AD$21,"*Mudondo*")</f>
        <v/>
      </c>
    </row>
    <row r="57">
      <c r="E57" s="95">
        <f>SUM(E38:E56)</f>
        <v/>
      </c>
      <c r="F57" s="95">
        <f>SUM(F38:F56)</f>
        <v/>
      </c>
      <c r="G57" s="95">
        <f>SUM(G38:G56)</f>
        <v/>
      </c>
      <c r="H57" s="95">
        <f>SUM(H38:H56)</f>
        <v/>
      </c>
      <c r="I57" s="95">
        <f>SUM(I38:I56)</f>
        <v/>
      </c>
    </row>
  </sheetData>
  <mergeCells count="113">
    <mergeCell ref="G21:H21"/>
    <mergeCell ref="C6:D6"/>
    <mergeCell ref="C15:D15"/>
    <mergeCell ref="E8:F8"/>
    <mergeCell ref="O9:V9"/>
    <mergeCell ref="C27:K27"/>
    <mergeCell ref="W20:AD20"/>
    <mergeCell ref="O5:V5"/>
    <mergeCell ref="K17:M17"/>
    <mergeCell ref="G18:H18"/>
    <mergeCell ref="I18:J18"/>
    <mergeCell ref="W12:AD12"/>
    <mergeCell ref="C25:K26"/>
    <mergeCell ref="O12:V12"/>
    <mergeCell ref="W9:AD9"/>
    <mergeCell ref="AG5:AG6"/>
    <mergeCell ref="G20:H20"/>
    <mergeCell ref="I20:J20"/>
    <mergeCell ref="K5:M5"/>
    <mergeCell ref="O14:V14"/>
    <mergeCell ref="K20:M20"/>
    <mergeCell ref="K11:M11"/>
    <mergeCell ref="E12:F12"/>
    <mergeCell ref="O7:V7"/>
    <mergeCell ref="W4:AD4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K8:M8"/>
    <mergeCell ref="E4:F4"/>
    <mergeCell ref="G7:H7"/>
    <mergeCell ref="C7:D8"/>
    <mergeCell ref="I7:J7"/>
    <mergeCell ref="K14:M14"/>
    <mergeCell ref="K15:N15"/>
    <mergeCell ref="K7:M7"/>
    <mergeCell ref="K4:M4"/>
    <mergeCell ref="AG8:AG9"/>
    <mergeCell ref="K18:M18"/>
    <mergeCell ref="I8:J8"/>
    <mergeCell ref="I17:J17"/>
    <mergeCell ref="O17:V17"/>
    <mergeCell ref="O11:V11"/>
    <mergeCell ref="C10:D11"/>
    <mergeCell ref="C16:D17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K21:M21"/>
    <mergeCell ref="G8:H8"/>
    <mergeCell ref="E17:F17"/>
    <mergeCell ref="G17:H17"/>
    <mergeCell ref="X25:AD25"/>
    <mergeCell ref="AG11:AG12"/>
    <mergeCell ref="W5:AD5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O21:V21"/>
    <mergeCell ref="G5:H5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C2:AD2" showDropDown="0" showInputMessage="1" showErrorMessage="1" allowBlank="1" prompt="To change the calendar year, go to cell P8 in About sheet"/>
    <dataValidation sqref="C5:D5" showDropDown="0" showInputMessage="1" showErrorMessage="1" allowBlank="1" prompt="Calendar days are automatically updated"/>
    <dataValidation sqref="C4:D4" showDropDown="0" showInputMessage="1" showErrorMessage="1" allowBlank="1" prompt="To change the starting day of the week, go to cell P12 in About sheet"/>
    <dataValidation sqref="C6:D6" showDropDown="0" showInputMessage="1" showErrorMessage="1" allowBlank="1" prompt="Enter daily notes below the calendar days, such as this cell"/>
    <dataValidation sqref="C25:K26" showDropDown="0" showInputMessage="1" showErrorMessage="1" allowBlank="1" prompt="Enter monthly notes in cells C24 to K28"/>
    <dataValidation sqref="O25:U25" showDropDown="0" showInputMessage="1" showErrorMessage="1" allowBlank="1" prompt="Previous month calendar"/>
    <dataValidation sqref="X25:AD25" showDropDown="0" showInputMessage="1" showErrorMessage="1" allowBlank="1" prompt="Next month calendar"/>
  </dataValidations>
  <printOptions horizontalCentered="1"/>
  <pageMargins left="0.5" right="0.5" top="0.25" bottom="0.25" header="0.25" footer="0.25"/>
  <pageSetup orientation="landscape" scale="88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4" zoomScaleNormal="100" workbookViewId="0">
      <selection activeCell="AK15" sqref="AK15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DATE('2027'!P8,3,1)</f>
        <v/>
      </c>
      <c r="AF2" s="29" t="n"/>
      <c r="AG2" s="149" t="inlineStr">
        <is>
          <t>Away: Sublette
CBP - 2 weeks: Mautino 
Peds ER: Strand
Med A: Johnson &amp; Hard
OB: Mudondo &amp; Oehm</t>
        </is>
      </c>
      <c r="AK2" s="149" t="inlineStr">
        <is>
          <t xml:space="preserve">GYN/CM: Kendrick
NICU: 
R3 - Ortho: 
R2 - Peds: 
Derm: Lux
Ultrasound: Bottke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3" t="inlineStr">
        <is>
          <t>Wohlgemuth
Patel</t>
        </is>
      </c>
      <c r="F6" s="202" t="n"/>
      <c r="G6" s="203" t="inlineStr">
        <is>
          <t>Oehm
Mudondo</t>
        </is>
      </c>
      <c r="H6" s="202" t="n"/>
      <c r="I6" s="203" t="inlineStr">
        <is>
          <t>Wohlgemuth
Patel</t>
        </is>
      </c>
      <c r="J6" s="202" t="n"/>
      <c r="K6" s="203" t="inlineStr">
        <is>
          <t>Oehm
Lux</t>
        </is>
      </c>
      <c r="L6" s="204" t="n"/>
      <c r="M6" s="204" t="n"/>
      <c r="N6" s="202" t="n"/>
      <c r="O6" s="203" t="inlineStr">
        <is>
          <t>Hard
Mudondo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Stanek
Gaspar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/>
      </c>
      <c r="AI6" s="94">
        <f>COUNTIF($C$5:$AD$21,"*Oehm*")</f>
        <v/>
      </c>
      <c r="AJ6" s="94">
        <f>COUNTIF($C$5:$AD$21,"*Schutt*")</f>
        <v/>
      </c>
      <c r="AK6" s="94">
        <f>COUNTIF($C$5:$AD$21,"*Stanek*")</f>
        <v/>
      </c>
      <c r="AL6" s="94">
        <f>COUNTIF($C$5:$AD$21,"*Strand*")</f>
        <v/>
      </c>
      <c r="AM6" s="94">
        <f>COUNTIF($C$5:$AD$21,"*Wohlgemuth*")</f>
        <v/>
      </c>
      <c r="AN6" s="92">
        <f>SUM(AH6:AM6)</f>
        <v/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Schutt
Bower</t>
        </is>
      </c>
      <c r="D9" s="202" t="n"/>
      <c r="E9" s="203" t="inlineStr">
        <is>
          <t>Wohlgemuth
Patel</t>
        </is>
      </c>
      <c r="F9" s="202" t="n"/>
      <c r="G9" s="203" t="inlineStr">
        <is>
          <t>Schutt
Lux</t>
        </is>
      </c>
      <c r="H9" s="202" t="n"/>
      <c r="I9" s="203" t="inlineStr">
        <is>
          <t>Wohlgemuth
Bower</t>
        </is>
      </c>
      <c r="J9" s="202" t="n"/>
      <c r="K9" s="203" t="inlineStr">
        <is>
          <t>Hard
Gaspar</t>
        </is>
      </c>
      <c r="L9" s="204" t="n"/>
      <c r="M9" s="204" t="n"/>
      <c r="N9" s="202" t="n"/>
      <c r="O9" s="203" t="inlineStr">
        <is>
          <t>Wohlgemuth
Mudondo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Stanek
Lux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/>
      </c>
      <c r="AI9" s="94">
        <f>COUNTIF($C$5:$AD$21,"*Bottke*")</f>
        <v/>
      </c>
      <c r="AJ9" s="94">
        <f>COUNTIF($C$5:$AD$21,"*Bower*")</f>
        <v/>
      </c>
      <c r="AK9" s="94">
        <f>COUNTIF($C$5:$AD$21,"*Gaspar*")</f>
        <v/>
      </c>
      <c r="AL9" s="94">
        <f>COUNTIF($C$5:$AD$21,"*Kendrick*")</f>
        <v/>
      </c>
      <c r="AM9" s="94">
        <f>COUNTIF($C$5:$AD$21,"*Patel*")</f>
        <v/>
      </c>
      <c r="AN9" s="94">
        <f>COUNTIF($C$5:$AD$21,"*Sublette*")</f>
        <v/>
      </c>
      <c r="AO9" s="92">
        <f>SUM(AH9:AN9)</f>
        <v/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Wohlgemuth
Bower</t>
        </is>
      </c>
      <c r="D12" s="202" t="n"/>
      <c r="E12" s="203" t="inlineStr">
        <is>
          <t>Oehm
Beutel</t>
        </is>
      </c>
      <c r="F12" s="202" t="n"/>
      <c r="G12" s="203" t="inlineStr">
        <is>
          <t>Wohlgemuth
Bottke</t>
        </is>
      </c>
      <c r="H12" s="202" t="n"/>
      <c r="I12" s="203" t="inlineStr">
        <is>
          <t>Oehm
Lux</t>
        </is>
      </c>
      <c r="J12" s="202" t="n"/>
      <c r="K12" s="203" t="inlineStr">
        <is>
          <t>Wohlgemuth
Beutel</t>
        </is>
      </c>
      <c r="L12" s="204" t="n"/>
      <c r="M12" s="204" t="n"/>
      <c r="N12" s="202" t="n"/>
      <c r="O12" s="203" t="inlineStr">
        <is>
          <t>Hard
Bower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Wohlgemuth
Patel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/>
      </c>
      <c r="AI12" s="94">
        <f>COUNTIF($C$5:$AD$21,"*Lux*")</f>
        <v/>
      </c>
      <c r="AJ12" s="94">
        <f>COUNTIF($C$5:$AD$21,"*Mautino*")</f>
        <v/>
      </c>
      <c r="AK12" s="94">
        <f>COUNTIF($C$5:$AD$21,"*Mudondo*")</f>
        <v/>
      </c>
      <c r="AL12" s="84">
        <f>SUM(AH12:AK12)</f>
        <v/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Hard
Gaspar</t>
        </is>
      </c>
      <c r="D15" s="202" t="n"/>
      <c r="E15" s="203" t="inlineStr">
        <is>
          <t>Oehm
Lux</t>
        </is>
      </c>
      <c r="F15" s="202" t="n"/>
      <c r="G15" s="203" t="inlineStr">
        <is>
          <t>Wohlgemuth
Bottke</t>
        </is>
      </c>
      <c r="H15" s="202" t="n"/>
      <c r="I15" s="203" t="inlineStr">
        <is>
          <t>Hard
Bower</t>
        </is>
      </c>
      <c r="J15" s="202" t="n"/>
      <c r="K15" s="203" t="inlineStr">
        <is>
          <t>Wohlgemuth
Gaspar</t>
        </is>
      </c>
      <c r="L15" s="204" t="n"/>
      <c r="M15" s="204" t="n"/>
      <c r="N15" s="202" t="n"/>
      <c r="O15" s="203" t="inlineStr">
        <is>
          <t>Schutt
Johnson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Hard
Mudondo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200">
        <f>W14+1</f>
        <v/>
      </c>
      <c r="D16" s="197" t="n"/>
      <c r="E16" s="137" t="n"/>
      <c r="F16" s="138" t="n"/>
      <c r="G16" s="137" t="n"/>
      <c r="H16" s="138" t="n"/>
      <c r="I16" s="211" t="n"/>
      <c r="J16" s="212" t="n"/>
      <c r="K16" s="124" t="n"/>
      <c r="L16" s="161" t="n"/>
      <c r="M16" s="161" t="n"/>
      <c r="N16" s="125" t="n"/>
      <c r="O16" s="211" t="n"/>
      <c r="P16" s="219" t="n"/>
      <c r="Q16" s="219" t="n"/>
      <c r="R16" s="219" t="n"/>
      <c r="S16" s="219" t="n"/>
      <c r="T16" s="219" t="n"/>
      <c r="U16" s="219" t="n"/>
      <c r="V16" s="212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8">
        <f>I17+1</f>
        <v/>
      </c>
      <c r="N17" s="197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22" t="inlineStr">
        <is>
          <t>Strand
Sublette</t>
        </is>
      </c>
      <c r="D18" s="202" t="n"/>
      <c r="E18" s="203" t="inlineStr">
        <is>
          <t>Hard
Bower</t>
        </is>
      </c>
      <c r="F18" s="202" t="n"/>
      <c r="G18" s="203" t="inlineStr">
        <is>
          <t>Stanek
Sublette</t>
        </is>
      </c>
      <c r="H18" s="202" t="n"/>
      <c r="I18" s="203" t="inlineStr">
        <is>
          <t>Strand
Bower</t>
        </is>
      </c>
      <c r="J18" s="202" t="n"/>
      <c r="K18" s="232" t="n"/>
      <c r="L18" s="204" t="n"/>
      <c r="M18" s="204" t="n"/>
      <c r="N18" s="202" t="n"/>
      <c r="O18" s="201" t="n"/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211" t="n"/>
      <c r="J19" s="212" t="n"/>
      <c r="K19" s="124" t="n"/>
      <c r="L19" s="161" t="n"/>
      <c r="M19" s="161" t="n"/>
      <c r="N19" s="125" t="n"/>
      <c r="O19" s="211" t="n"/>
      <c r="P19" s="219" t="n"/>
      <c r="Q19" s="219" t="n"/>
      <c r="R19" s="219" t="n"/>
      <c r="S19" s="219" t="n"/>
      <c r="T19" s="219" t="n"/>
      <c r="U19" s="219" t="n"/>
      <c r="V19" s="212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8">
        <f>I20+1</f>
        <v/>
      </c>
      <c r="N20" s="197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232" t="n"/>
      <c r="L21" s="204" t="n"/>
      <c r="M21" s="204" t="n"/>
      <c r="N21" s="202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122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 ht="15" customHeight="1">
      <c r="A32" s="1" t="n"/>
      <c r="C32" s="122" t="n"/>
      <c r="D32" s="122" t="n"/>
      <c r="E32" s="122" t="n"/>
      <c r="F32" s="122" t="n"/>
      <c r="G32" s="122" t="n"/>
      <c r="H32" s="122" t="n"/>
      <c r="I32" s="122" t="n"/>
      <c r="J32" s="122" t="n"/>
      <c r="K32" s="122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/>
      </c>
      <c r="F38" s="104">
        <f>COUNTIF($I$5:$N$21,"*Hard*")</f>
        <v/>
      </c>
      <c r="G38" s="104">
        <f>COUNTIF($O$5:$V$21,"*Hard*")</f>
        <v/>
      </c>
      <c r="H38" s="104">
        <f>COUNTIF($C$5:$D$21,"*Hard*")</f>
        <v/>
      </c>
      <c r="I38" s="104">
        <f>COUNTIF($W$5:$AD$21,"*Hard*")</f>
        <v/>
      </c>
    </row>
    <row r="39">
      <c r="D39" s="101" t="inlineStr">
        <is>
          <t>Oehm</t>
        </is>
      </c>
      <c r="E39" s="104">
        <f>COUNTIF($E$5:$H$21,"*Oehm*")</f>
        <v/>
      </c>
      <c r="F39" s="104">
        <f>COUNTIF($I$5:$N$21,"*Oehm*")</f>
        <v/>
      </c>
      <c r="G39" s="104">
        <f>COUNTIF($O$5:$V$21,"*Oehm*")</f>
        <v/>
      </c>
      <c r="H39" s="104">
        <f>COUNTIF($C$5:$D$21,"*Oehm*")</f>
        <v/>
      </c>
      <c r="I39" s="104">
        <f>COUNTIF($W$5:$AD$21,"*Oehm*")</f>
        <v/>
      </c>
    </row>
    <row r="40">
      <c r="D40" s="101" t="inlineStr">
        <is>
          <t>Schutt</t>
        </is>
      </c>
      <c r="E40" s="104">
        <f>COUNTIF($E$5:$H$21,"*Schutt*")</f>
        <v/>
      </c>
      <c r="F40" s="104">
        <f>COUNTIF($I$5:$N$21,"*Schutt*")</f>
        <v/>
      </c>
      <c r="G40" s="104">
        <f>COUNTIF($O$5:$V$21,"*Schutt*")</f>
        <v/>
      </c>
      <c r="H40" s="104">
        <f>COUNTIF($C$5:$D$21,"*Schutt*")</f>
        <v/>
      </c>
      <c r="I40" s="104">
        <f>COUNTIF($W$5:$AD$21,"*Schutt*")</f>
        <v/>
      </c>
    </row>
    <row r="41">
      <c r="D41" s="101" t="inlineStr">
        <is>
          <t>Stanek</t>
        </is>
      </c>
      <c r="E41" s="104">
        <f>COUNTIF($E$5:$H$21,"*Stanek*")</f>
        <v/>
      </c>
      <c r="F41" s="104">
        <f>COUNTIF($I$5:$N$21,"*Stanek*")</f>
        <v/>
      </c>
      <c r="G41" s="104">
        <f>COUNTIF($O$5:$V$21,"*Stanek*")</f>
        <v/>
      </c>
      <c r="H41" s="104">
        <f>COUNTIF($C$5:$D$21,"*Stanek*")</f>
        <v/>
      </c>
      <c r="I41" s="104">
        <f>COUNTIF($W$5:$AD$21,"*Stanek*")</f>
        <v/>
      </c>
    </row>
    <row r="42">
      <c r="D42" s="101" t="inlineStr">
        <is>
          <t>Strand</t>
        </is>
      </c>
      <c r="E42" s="104">
        <f>COUNTIF($E$5:$H$21,"*Strand*")</f>
        <v/>
      </c>
      <c r="F42" s="104">
        <f>COUNTIF($I$5:$N$21,"*Strand*")</f>
        <v/>
      </c>
      <c r="G42" s="104">
        <f>COUNTIF($O$5:$V$21,"*Strand*")</f>
        <v/>
      </c>
      <c r="H42" s="104">
        <f>COUNTIF($C$5:$D$21,"*Strand*")</f>
        <v/>
      </c>
      <c r="I42" s="104">
        <f>COUNTIF($W$5:$AD$21,"*Strand*")</f>
        <v/>
      </c>
    </row>
    <row r="43">
      <c r="D43" s="101" t="inlineStr">
        <is>
          <t>Wohlgemuth</t>
        </is>
      </c>
      <c r="E43" s="104">
        <f>COUNTIF($E$5:$H$21,"*Wohlgemuth*")</f>
        <v/>
      </c>
      <c r="F43" s="104">
        <f>COUNTIF($I$5:$N$21,"*Wohlgemuth*")</f>
        <v/>
      </c>
      <c r="G43" s="104">
        <f>COUNTIF($O$5:$V$21,"*Wohlgemuth*")</f>
        <v/>
      </c>
      <c r="H43" s="104">
        <f>COUNTIF($C$5:$D$21,"*Wohlgemuth*")</f>
        <v/>
      </c>
      <c r="I43" s="104">
        <f>COUNTIF($W$5:$AD$21,"*Wohlgemuth*")</f>
        <v/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/>
      </c>
      <c r="F45" s="106">
        <f>COUNTIF($I$5:$N$21,"*Beutel*")</f>
        <v/>
      </c>
      <c r="G45" s="106">
        <f>COUNTIF($O$5:$V$21,"*Beutel*")</f>
        <v/>
      </c>
      <c r="H45" s="106">
        <f>COUNTIF($C$5:$D$21,"*Beutel*")</f>
        <v/>
      </c>
      <c r="I45" s="106">
        <f>COUNTIF($W$5:$AD$21,"*Beutel*")</f>
        <v/>
      </c>
    </row>
    <row r="46">
      <c r="D46" s="102" t="inlineStr">
        <is>
          <t>Bottke</t>
        </is>
      </c>
      <c r="E46" s="106">
        <f>COUNTIF($E$5:$H$21,"*Bottke*")</f>
        <v/>
      </c>
      <c r="F46" s="106">
        <f>COUNTIF($I$5:$N$21,"*Bottke*")</f>
        <v/>
      </c>
      <c r="G46" s="106">
        <f>COUNTIF($O$5:$V$21,"*Bottke*")</f>
        <v/>
      </c>
      <c r="H46" s="106">
        <f>COUNTIF($C$5:$D$21,"*Bottke*")</f>
        <v/>
      </c>
      <c r="I46" s="106">
        <f>COUNTIF($W$5:$AD$21,"*Bottke*")</f>
        <v/>
      </c>
    </row>
    <row r="47">
      <c r="D47" s="102" t="inlineStr">
        <is>
          <t>Bower</t>
        </is>
      </c>
      <c r="E47" s="106">
        <f>COUNTIF($E$5:$H$21,"*Bower*")</f>
        <v/>
      </c>
      <c r="F47" s="106">
        <f>COUNTIF($I$5:$N$21,"*Bower*")</f>
        <v/>
      </c>
      <c r="G47" s="106">
        <f>COUNTIF($O$5:$V$21,"*Bower*")</f>
        <v/>
      </c>
      <c r="H47" s="106">
        <f>COUNTIF($C$5:$D$21,"*Bower*")</f>
        <v/>
      </c>
      <c r="I47" s="106">
        <f>COUNTIF($W$5:$AD$21,"*Bower*")</f>
        <v/>
      </c>
    </row>
    <row r="48">
      <c r="D48" s="102" t="inlineStr">
        <is>
          <t>Gaspar</t>
        </is>
      </c>
      <c r="E48" s="106">
        <f>COUNTIF($E$5:$H$21,"*Gaspar*")</f>
        <v/>
      </c>
      <c r="F48" s="106">
        <f>COUNTIF($I$5:$N$21,"*Gaspar*")</f>
        <v/>
      </c>
      <c r="G48" s="106">
        <f>COUNTIF($O$5:$V$21,"*Gaspar*")</f>
        <v/>
      </c>
      <c r="H48" s="106">
        <f>COUNTIF($C$5:$D$21,"*Gaspar*")</f>
        <v/>
      </c>
      <c r="I48" s="106">
        <f>COUNTIF($W$5:$AD$21,"*Gaspar*")</f>
        <v/>
      </c>
    </row>
    <row r="49">
      <c r="D49" s="102" t="inlineStr">
        <is>
          <t>Kendrick</t>
        </is>
      </c>
      <c r="E49" s="106">
        <f>COUNTIF($E$5:$H$21,"*Kendrick*")</f>
        <v/>
      </c>
      <c r="F49" s="106">
        <f>COUNTIF($I$5:$N$21,"*Kendrick*")</f>
        <v/>
      </c>
      <c r="G49" s="106">
        <f>COUNTIF($O$5:$V$21,"*Kendrick*")</f>
        <v/>
      </c>
      <c r="H49" s="106">
        <f>COUNTIF($C$5:$D$21,"*Kendrick*")</f>
        <v/>
      </c>
      <c r="I49" s="106">
        <f>COUNTIF($W$5:$AD$21,"*Kendrick*")</f>
        <v/>
      </c>
    </row>
    <row r="50">
      <c r="D50" s="102" t="inlineStr">
        <is>
          <t>Patel</t>
        </is>
      </c>
      <c r="E50" s="106">
        <f>COUNTIF($E$5:$H$21,"*Patel*")</f>
        <v/>
      </c>
      <c r="F50" s="106">
        <f>COUNTIF($I$5:$N$21,"*Patel*")</f>
        <v/>
      </c>
      <c r="G50" s="106">
        <f>COUNTIF($O$5:$V$21,"*Patel*")</f>
        <v/>
      </c>
      <c r="H50" s="106">
        <f>COUNTIF($C$5:$D$21,"*Patel*")</f>
        <v/>
      </c>
      <c r="I50" s="106">
        <f>COUNTIF($W$5:$AD$21,"*Patel*")</f>
        <v/>
      </c>
    </row>
    <row r="51">
      <c r="D51" s="102" t="inlineStr">
        <is>
          <t>Sublette</t>
        </is>
      </c>
      <c r="E51" s="106">
        <f>COUNTIF($E$5:$H$21,"*Sublette*")</f>
        <v/>
      </c>
      <c r="F51" s="106">
        <f>COUNTIF($I$5:$N$21,"*Sublette*")</f>
        <v/>
      </c>
      <c r="G51" s="106">
        <f>COUNTIF($O$5:$V$21,"*Sublette*")</f>
        <v/>
      </c>
      <c r="H51" s="106">
        <f>COUNTIF($C$5:$D$21,"*Sublette*")</f>
        <v/>
      </c>
      <c r="I51" s="106">
        <f>COUNTIF($W$5:$AD$21,"*Sublette*")</f>
        <v/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/>
      </c>
      <c r="F53" s="107">
        <f>COUNTIF($I$5:$N$21,"*Johnson*")</f>
        <v/>
      </c>
      <c r="G53" s="107">
        <f>COUNTIF($O$5:$V$21,"*Johnson*")</f>
        <v/>
      </c>
      <c r="H53" s="107">
        <f>COUNTIF($C$5:$D$21,"*Johnson*")</f>
        <v/>
      </c>
      <c r="I53" s="107">
        <f>COUNTIF($W$5:$AD$21,"*Johnson*")</f>
        <v/>
      </c>
    </row>
    <row r="54">
      <c r="D54" s="103" t="inlineStr">
        <is>
          <t>Lux</t>
        </is>
      </c>
      <c r="E54" s="107">
        <f>COUNTIF($E$5:$H$21,"*Lux*")</f>
        <v/>
      </c>
      <c r="F54" s="107">
        <f>COUNTIF($I$5:$N$21,"*Lux*")</f>
        <v/>
      </c>
      <c r="G54" s="107">
        <f>COUNTIF($O$5:$V$21,"*Lux*")</f>
        <v/>
      </c>
      <c r="H54" s="107">
        <f>COUNTIF($C$5:$D$21,"*Lux*")</f>
        <v/>
      </c>
      <c r="I54" s="107">
        <f>COUNTIF($W$5:$AD$21,"*Lux*")</f>
        <v/>
      </c>
    </row>
    <row r="55">
      <c r="D55" s="103" t="inlineStr">
        <is>
          <t>Mautino</t>
        </is>
      </c>
      <c r="E55" s="107">
        <f>COUNTIF($E$5:$H$21,"*Mautino*")</f>
        <v/>
      </c>
      <c r="F55" s="107">
        <f>COUNTIF($I$5:$N$21,"*Mautino*")</f>
        <v/>
      </c>
      <c r="G55" s="107">
        <f>COUNTIF($O$5:$V$21,"*Mautino*")</f>
        <v/>
      </c>
      <c r="H55" s="107">
        <f>COUNTIF($C$5:$D$21,"*Mautino*")</f>
        <v/>
      </c>
      <c r="I55" s="107">
        <f>COUNTIF($W$5:$AD$21,"*Mautino*")</f>
        <v/>
      </c>
    </row>
    <row r="56">
      <c r="D56" s="103" t="inlineStr">
        <is>
          <t>Mudondo</t>
        </is>
      </c>
      <c r="E56" s="107">
        <f>COUNTIF($E$5:$H$21,"*Mudondo*")</f>
        <v/>
      </c>
      <c r="F56" s="107">
        <f>COUNTIF($I$5:$N$21,"*Mudondo*")</f>
        <v/>
      </c>
      <c r="G56" s="107">
        <f>COUNTIF($O$5:$V$21,"*Mudondo*")</f>
        <v/>
      </c>
      <c r="H56" s="107">
        <f>COUNTIF($C$5:$D$21,"*Mudondo*")</f>
        <v/>
      </c>
      <c r="I56" s="107">
        <f>COUNTIF($W$5:$AD$21,"*Mudondo*")</f>
        <v/>
      </c>
    </row>
    <row r="57">
      <c r="E57" s="95">
        <f>SUM(E38:E56)</f>
        <v/>
      </c>
      <c r="F57" s="95">
        <f>SUM(F38:F56)</f>
        <v/>
      </c>
      <c r="G57" s="95">
        <f>SUM(G38:G56)</f>
        <v/>
      </c>
      <c r="H57" s="95">
        <f>SUM(H38:H56)</f>
        <v/>
      </c>
      <c r="I57" s="95">
        <f>SUM(I38:I56)</f>
        <v/>
      </c>
    </row>
  </sheetData>
  <mergeCells count="117">
    <mergeCell ref="G21:H21"/>
    <mergeCell ref="C6:D6"/>
    <mergeCell ref="C15:D15"/>
    <mergeCell ref="O19:V19"/>
    <mergeCell ref="E8:F8"/>
    <mergeCell ref="O9:V9"/>
    <mergeCell ref="C27:K27"/>
    <mergeCell ref="I16:J16"/>
    <mergeCell ref="W20:AD20"/>
    <mergeCell ref="O5:V5"/>
    <mergeCell ref="G18:H18"/>
    <mergeCell ref="I18:J18"/>
    <mergeCell ref="W12:AD12"/>
    <mergeCell ref="C25:K26"/>
    <mergeCell ref="O12:V12"/>
    <mergeCell ref="W9:AD9"/>
    <mergeCell ref="AG5:AG6"/>
    <mergeCell ref="G20:H20"/>
    <mergeCell ref="I20:J20"/>
    <mergeCell ref="K5:M5"/>
    <mergeCell ref="O14:V14"/>
    <mergeCell ref="K11:M11"/>
    <mergeCell ref="E12:F12"/>
    <mergeCell ref="O7:V7"/>
    <mergeCell ref="W4:AD4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K8:M8"/>
    <mergeCell ref="E4:F4"/>
    <mergeCell ref="G7:H7"/>
    <mergeCell ref="C7:D8"/>
    <mergeCell ref="I7:J7"/>
    <mergeCell ref="K14:M14"/>
    <mergeCell ref="K15:N15"/>
    <mergeCell ref="K7:M7"/>
    <mergeCell ref="K21:N21"/>
    <mergeCell ref="K4:M4"/>
    <mergeCell ref="AG8:AG9"/>
    <mergeCell ref="I8:J8"/>
    <mergeCell ref="I17:J17"/>
    <mergeCell ref="O17:V17"/>
    <mergeCell ref="O11:V11"/>
    <mergeCell ref="C10:D11"/>
    <mergeCell ref="C16:D17"/>
    <mergeCell ref="I19:J19"/>
    <mergeCell ref="D36:I36"/>
    <mergeCell ref="W14:AD14"/>
    <mergeCell ref="C18:D18"/>
    <mergeCell ref="G9:H9"/>
    <mergeCell ref="E18:F18"/>
    <mergeCell ref="I9:J9"/>
    <mergeCell ref="C2:AD2"/>
    <mergeCell ref="AG4:AN4"/>
    <mergeCell ref="K17:N17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O16:V16"/>
    <mergeCell ref="G15:H15"/>
    <mergeCell ref="W18:AD18"/>
    <mergeCell ref="O8:V8"/>
    <mergeCell ref="W17:AD17"/>
    <mergeCell ref="E7:F7"/>
    <mergeCell ref="W11:AD11"/>
    <mergeCell ref="G8:H8"/>
    <mergeCell ref="E17:F17"/>
    <mergeCell ref="X25:AD25"/>
    <mergeCell ref="G17:H17"/>
    <mergeCell ref="AG11:AG12"/>
    <mergeCell ref="W5:AD5"/>
    <mergeCell ref="K18:N18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K20:N20"/>
    <mergeCell ref="O21:V21"/>
    <mergeCell ref="G5:H5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X25:AD25" showDropDown="0" showInputMessage="1" showErrorMessage="1" allowBlank="1" prompt="Next month calendar"/>
    <dataValidation sqref="O25:U25" showDropDown="0" showInputMessage="1" showErrorMessage="1" allowBlank="1" prompt="Previous month calendar"/>
    <dataValidation sqref="C25:K26" showDropDown="0" showInputMessage="1" showErrorMessage="1" allowBlank="1" prompt="Enter monthly notes in cells C24 to K28"/>
    <dataValidation sqref="C6:D6" showDropDown="0" showInputMessage="1" showErrorMessage="1" allowBlank="1" prompt="Enter daily notes below the calendar days, such as this cell"/>
    <dataValidation sqref="C4:D4" showDropDown="0" showInputMessage="1" showErrorMessage="1" allowBlank="1" prompt="To change the starting day of the week, go to cell P12 in About sheet"/>
    <dataValidation sqref="C5:D5" showDropDown="0" showInputMessage="1" showErrorMessage="1" allowBlank="1" prompt="Calendar days are automatically updated"/>
    <dataValidation sqref="C2:AD2" showDropDown="0" showInputMessage="1" showErrorMessage="1" allowBlank="1" prompt="To change the calendar year, go to cell P8 in About sheet"/>
  </dataValidations>
  <printOptions horizontalCentered="1"/>
  <pageMargins left="0.5" right="0.5" top="0.25" bottom="0.25" header="0.25" footer="0.25"/>
  <pageSetup orientation="landscape" scale="88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7" zoomScaleNormal="100" workbookViewId="0">
      <selection activeCell="AG2" sqref="AG2:AJ2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DATE('2027'!P8,4,1)</f>
        <v/>
      </c>
      <c r="AF2" s="29" t="n"/>
      <c r="AG2" s="149" t="inlineStr">
        <is>
          <t>Away: Gaspar
CBP - 2 weeks:  
Peds ER: Wohlgemuth &amp; Sublette
Med A: Patel &amp; Stanek
OB: Lux &amp; Strand</t>
        </is>
      </c>
      <c r="AK2" s="149" t="inlineStr">
        <is>
          <t>GYN/CM: Beutel
NICU: 
R3 - Ortho: 
R2 - Peds: Bower
Derm: Johnson &amp; Mautino
Ultrasound: Kendrick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1" t="n"/>
      <c r="H6" s="202" t="n"/>
      <c r="I6" s="201" t="n"/>
      <c r="J6" s="202" t="n"/>
      <c r="K6" s="203" t="inlineStr">
        <is>
          <t>Schutt
Johnson</t>
        </is>
      </c>
      <c r="L6" s="204" t="n"/>
      <c r="M6" s="204" t="n"/>
      <c r="N6" s="202" t="n"/>
      <c r="O6" s="203" t="inlineStr">
        <is>
          <t>Oehm
Patel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Hard
Beutel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/>
      </c>
      <c r="AI6" s="94">
        <f>COUNTIF($C$5:$AD$21,"*Oehm*")</f>
        <v/>
      </c>
      <c r="AJ6" s="94">
        <f>COUNTIF($C$5:$AD$21,"*Schutt*")</f>
        <v/>
      </c>
      <c r="AK6" s="94">
        <f>COUNTIF($C$5:$AD$21,"*Stanek*")</f>
        <v/>
      </c>
      <c r="AL6" s="94">
        <f>COUNTIF($C$5:$AD$21,"*Strand*")</f>
        <v/>
      </c>
      <c r="AM6" s="94">
        <f>COUNTIF($C$5:$AD$21,"*Wohlgemuth*")</f>
        <v/>
      </c>
      <c r="AN6" s="92">
        <f>SUM(AH6:AM6)</f>
        <v/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Strand
Bottke</t>
        </is>
      </c>
      <c r="D9" s="202" t="n"/>
      <c r="E9" s="203" t="inlineStr">
        <is>
          <t>Stanek
Bower</t>
        </is>
      </c>
      <c r="F9" s="202" t="n"/>
      <c r="G9" s="203" t="inlineStr">
        <is>
          <t>Strand
Mautino</t>
        </is>
      </c>
      <c r="H9" s="202" t="n"/>
      <c r="I9" s="203" t="inlineStr">
        <is>
          <t>Hard
Sublette</t>
        </is>
      </c>
      <c r="J9" s="202" t="n"/>
      <c r="K9" s="203" t="inlineStr">
        <is>
          <t>Oehm
Mudondo</t>
        </is>
      </c>
      <c r="L9" s="204" t="n"/>
      <c r="M9" s="204" t="n"/>
      <c r="N9" s="202" t="n"/>
      <c r="O9" s="203" t="inlineStr">
        <is>
          <t>Schutt
Bower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Hard
Mautino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/>
      </c>
      <c r="AI9" s="94">
        <f>COUNTIF($C$5:$AD$21,"*Bottke*")</f>
        <v/>
      </c>
      <c r="AJ9" s="94">
        <f>COUNTIF($C$5:$AD$21,"*Bower*")</f>
        <v/>
      </c>
      <c r="AK9" s="94">
        <f>COUNTIF($C$5:$AD$21,"*Gaspar*")</f>
        <v/>
      </c>
      <c r="AL9" s="94">
        <f>COUNTIF($C$5:$AD$21,"*Kendrick*")</f>
        <v/>
      </c>
      <c r="AM9" s="94">
        <f>COUNTIF($C$5:$AD$21,"*Patel*")</f>
        <v/>
      </c>
      <c r="AN9" s="94">
        <f>COUNTIF($C$5:$AD$21,"*Sublette*")</f>
        <v/>
      </c>
      <c r="AO9" s="92">
        <f>SUM(AH9:AN9)</f>
        <v/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Oehm
Patel</t>
        </is>
      </c>
      <c r="D12" s="202" t="n"/>
      <c r="E12" s="203" t="inlineStr">
        <is>
          <t>Stanek
Bottke</t>
        </is>
      </c>
      <c r="F12" s="202" t="n"/>
      <c r="G12" s="203" t="inlineStr">
        <is>
          <t>Hard
Beutel</t>
        </is>
      </c>
      <c r="H12" s="202" t="n"/>
      <c r="I12" s="203" t="inlineStr">
        <is>
          <t>Oehm
Mudondo</t>
        </is>
      </c>
      <c r="J12" s="202" t="n"/>
      <c r="K12" s="203" t="inlineStr">
        <is>
          <t>Stanek
Beutel</t>
        </is>
      </c>
      <c r="L12" s="204" t="n"/>
      <c r="M12" s="204" t="n"/>
      <c r="N12" s="202" t="n"/>
      <c r="O12" s="203" t="inlineStr">
        <is>
          <t>Schutt
Mudondo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Oehm
Kendrick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/>
      </c>
      <c r="AI12" s="94">
        <f>COUNTIF($C$5:$AD$21,"*Lux*")</f>
        <v/>
      </c>
      <c r="AJ12" s="94">
        <f>COUNTIF($C$5:$AD$21,"*Mautino*")</f>
        <v/>
      </c>
      <c r="AK12" s="94">
        <f>COUNTIF($C$5:$AD$21,"*Mudondo*")</f>
        <v/>
      </c>
      <c r="AL12" s="84">
        <f>SUM(AH12:AK12)</f>
        <v/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Stanek
Bower</t>
        </is>
      </c>
      <c r="D15" s="202" t="n"/>
      <c r="E15" s="203" t="inlineStr">
        <is>
          <t>Oehm
Patel</t>
        </is>
      </c>
      <c r="F15" s="202" t="n"/>
      <c r="G15" s="203" t="inlineStr">
        <is>
          <t>Hard
Kendrick</t>
        </is>
      </c>
      <c r="H15" s="202" t="n"/>
      <c r="I15" s="203" t="inlineStr">
        <is>
          <t>Strand
Johnson</t>
        </is>
      </c>
      <c r="J15" s="202" t="n"/>
      <c r="K15" s="203" t="inlineStr">
        <is>
          <t>Schutt
Mudondo</t>
        </is>
      </c>
      <c r="L15" s="204" t="n"/>
      <c r="M15" s="204" t="n"/>
      <c r="N15" s="202" t="n"/>
      <c r="O15" s="203" t="inlineStr">
        <is>
          <t>Strand
Bottke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Schutt
Beutel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211" t="n"/>
      <c r="J16" s="212" t="n"/>
      <c r="K16" s="124" t="n"/>
      <c r="L16" s="161" t="n"/>
      <c r="M16" s="161" t="n"/>
      <c r="N16" s="125" t="n"/>
      <c r="O16" s="211" t="n"/>
      <c r="P16" s="219" t="n"/>
      <c r="Q16" s="219" t="n"/>
      <c r="R16" s="219" t="n"/>
      <c r="S16" s="219" t="n"/>
      <c r="T16" s="219" t="n"/>
      <c r="U16" s="219" t="n"/>
      <c r="V16" s="212" t="n"/>
      <c r="W16" s="211" t="n"/>
      <c r="X16" s="219" t="n"/>
      <c r="Y16" s="219" t="n"/>
      <c r="Z16" s="219" t="n"/>
      <c r="AA16" s="219" t="n"/>
      <c r="AB16" s="219" t="n"/>
      <c r="AC16" s="219" t="n"/>
      <c r="AD16" s="212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L17" s="213" t="n"/>
      <c r="M17" s="213" t="n"/>
      <c r="N17" s="214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3" t="inlineStr">
        <is>
          <t>Strand
Kendrick</t>
        </is>
      </c>
      <c r="D18" s="202" t="n"/>
      <c r="E18" s="203" t="inlineStr">
        <is>
          <t>Schutt
Bottke</t>
        </is>
      </c>
      <c r="F18" s="202" t="n"/>
      <c r="G18" s="203" t="inlineStr">
        <is>
          <t>Strand
Lux</t>
        </is>
      </c>
      <c r="H18" s="202" t="n"/>
      <c r="I18" s="203" t="inlineStr">
        <is>
          <t>Stanek
Kendrick</t>
        </is>
      </c>
      <c r="J18" s="202" t="n"/>
      <c r="K18" s="233" t="inlineStr">
        <is>
          <t>Strand
Gaspar</t>
        </is>
      </c>
      <c r="L18" s="204" t="n"/>
      <c r="M18" s="204" t="n"/>
      <c r="N18" s="202" t="n"/>
      <c r="O18" s="203" t="inlineStr">
        <is>
          <t>Stanek
Kendrick</t>
        </is>
      </c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211" t="n"/>
      <c r="J19" s="212" t="n"/>
      <c r="K19" s="124" t="n"/>
      <c r="L19" s="161" t="n"/>
      <c r="M19" s="161" t="n"/>
      <c r="N19" s="125" t="n"/>
      <c r="O19" s="211" t="n"/>
      <c r="P19" s="219" t="n"/>
      <c r="Q19" s="219" t="n"/>
      <c r="R19" s="219" t="n"/>
      <c r="S19" s="219" t="n"/>
      <c r="T19" s="219" t="n"/>
      <c r="U19" s="219" t="n"/>
      <c r="V19" s="212" t="n"/>
      <c r="W19" s="211" t="n"/>
      <c r="X19" s="219" t="n"/>
      <c r="Y19" s="219" t="n"/>
      <c r="Z19" s="219" t="n"/>
      <c r="AA19" s="219" t="n"/>
      <c r="AB19" s="219" t="n"/>
      <c r="AC19" s="219" t="n"/>
      <c r="AD19" s="212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L20" s="213" t="n"/>
      <c r="M20" s="213" t="n"/>
      <c r="N20" s="214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174" t="n"/>
      <c r="L21" s="175" t="n"/>
      <c r="M21" s="175" t="n"/>
      <c r="N21" s="176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>
      <c r="A32" s="1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O33" s="216" t="n"/>
      <c r="P33" s="217" t="n"/>
      <c r="Q33" s="217" t="n"/>
      <c r="R33" s="217" t="n"/>
      <c r="S33" s="217" t="n"/>
      <c r="T33" s="217" t="n"/>
      <c r="U33" s="216" t="n"/>
      <c r="V33" s="59" t="n"/>
      <c r="W33" s="59" t="n"/>
      <c r="X33" s="216" t="n"/>
      <c r="Y33" s="217" t="n"/>
      <c r="Z33" s="217" t="n"/>
      <c r="AA33" s="217" t="n"/>
      <c r="AB33" s="217" t="n"/>
      <c r="AC33" s="217" t="n"/>
      <c r="AD33" s="217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/>
      </c>
      <c r="F38" s="104">
        <f>COUNTIF($I$5:$N$21,"*Hard*")</f>
        <v/>
      </c>
      <c r="G38" s="104">
        <f>COUNTIF($O$5:$V$21,"*Hard*")</f>
        <v/>
      </c>
      <c r="H38" s="104">
        <f>COUNTIF($C$5:$D$21,"*Hard*")</f>
        <v/>
      </c>
      <c r="I38" s="104">
        <f>COUNTIF($W$5:$AD$21,"*Hard*")</f>
        <v/>
      </c>
    </row>
    <row r="39">
      <c r="D39" s="101" t="inlineStr">
        <is>
          <t>Oehm</t>
        </is>
      </c>
      <c r="E39" s="104">
        <f>COUNTIF($E$5:$H$21,"*Oehm*")</f>
        <v/>
      </c>
      <c r="F39" s="104">
        <f>COUNTIF($I$5:$N$21,"*Oehm*")</f>
        <v/>
      </c>
      <c r="G39" s="104">
        <f>COUNTIF($O$5:$V$21,"*Oehm*")</f>
        <v/>
      </c>
      <c r="H39" s="104">
        <f>COUNTIF($C$5:$D$21,"*Oehm*")</f>
        <v/>
      </c>
      <c r="I39" s="104">
        <f>COUNTIF($W$5:$AD$21,"*Oehm*")</f>
        <v/>
      </c>
    </row>
    <row r="40">
      <c r="D40" s="101" t="inlineStr">
        <is>
          <t>Schutt</t>
        </is>
      </c>
      <c r="E40" s="104">
        <f>COUNTIF($E$5:$H$21,"*Schutt*")</f>
        <v/>
      </c>
      <c r="F40" s="104">
        <f>COUNTIF($I$5:$N$21,"*Schutt*")</f>
        <v/>
      </c>
      <c r="G40" s="104">
        <f>COUNTIF($O$5:$V$21,"*Schutt*")</f>
        <v/>
      </c>
      <c r="H40" s="104">
        <f>COUNTIF($C$5:$D$21,"*Schutt*")</f>
        <v/>
      </c>
      <c r="I40" s="104">
        <f>COUNTIF($W$5:$AD$21,"*Schutt*")</f>
        <v/>
      </c>
    </row>
    <row r="41">
      <c r="D41" s="101" t="inlineStr">
        <is>
          <t>Stanek</t>
        </is>
      </c>
      <c r="E41" s="104">
        <f>COUNTIF($E$5:$H$21,"*Stanek*")</f>
        <v/>
      </c>
      <c r="F41" s="104">
        <f>COUNTIF($I$5:$N$21,"*Stanek*")</f>
        <v/>
      </c>
      <c r="G41" s="104">
        <f>COUNTIF($O$5:$V$21,"*Stanek*")</f>
        <v/>
      </c>
      <c r="H41" s="104">
        <f>COUNTIF($C$5:$D$21,"*Stanek*")</f>
        <v/>
      </c>
      <c r="I41" s="104">
        <f>COUNTIF($W$5:$AD$21,"*Stanek*")</f>
        <v/>
      </c>
    </row>
    <row r="42">
      <c r="D42" s="101" t="inlineStr">
        <is>
          <t>Strand</t>
        </is>
      </c>
      <c r="E42" s="104">
        <f>COUNTIF($E$5:$H$21,"*Strand*")</f>
        <v/>
      </c>
      <c r="F42" s="104">
        <f>COUNTIF($I$5:$N$21,"*Strand*")</f>
        <v/>
      </c>
      <c r="G42" s="104">
        <f>COUNTIF($O$5:$V$21,"*Strand*")</f>
        <v/>
      </c>
      <c r="H42" s="104">
        <f>COUNTIF($C$5:$D$21,"*Strand*")</f>
        <v/>
      </c>
      <c r="I42" s="104">
        <f>COUNTIF($W$5:$AD$21,"*Strand*")</f>
        <v/>
      </c>
    </row>
    <row r="43">
      <c r="D43" s="101" t="inlineStr">
        <is>
          <t>Wohlgemuth</t>
        </is>
      </c>
      <c r="E43" s="104">
        <f>COUNTIF($E$5:$H$21,"*Wohlgemuth*")</f>
        <v/>
      </c>
      <c r="F43" s="104">
        <f>COUNTIF($I$5:$N$21,"*Wohlgemuth*")</f>
        <v/>
      </c>
      <c r="G43" s="104">
        <f>COUNTIF($O$5:$V$21,"*Wohlgemuth*")</f>
        <v/>
      </c>
      <c r="H43" s="104">
        <f>COUNTIF($C$5:$D$21,"*Wohlgemuth*")</f>
        <v/>
      </c>
      <c r="I43" s="104">
        <f>COUNTIF($W$5:$AD$21,"*Wohlgemuth*")</f>
        <v/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/>
      </c>
      <c r="F45" s="106">
        <f>COUNTIF($I$5:$N$21,"*Beutel*")</f>
        <v/>
      </c>
      <c r="G45" s="106">
        <f>COUNTIF($O$5:$V$21,"*Beutel*")</f>
        <v/>
      </c>
      <c r="H45" s="106">
        <f>COUNTIF($C$5:$D$21,"*Beutel*")</f>
        <v/>
      </c>
      <c r="I45" s="106">
        <f>COUNTIF($W$5:$AD$21,"*Beutel*")</f>
        <v/>
      </c>
    </row>
    <row r="46">
      <c r="D46" s="102" t="inlineStr">
        <is>
          <t>Bottke</t>
        </is>
      </c>
      <c r="E46" s="106">
        <f>COUNTIF($E$5:$H$21,"*Bottke*")</f>
        <v/>
      </c>
      <c r="F46" s="106">
        <f>COUNTIF($I$5:$N$21,"*Bottke*")</f>
        <v/>
      </c>
      <c r="G46" s="106">
        <f>COUNTIF($O$5:$V$21,"*Bottke*")</f>
        <v/>
      </c>
      <c r="H46" s="106">
        <f>COUNTIF($C$5:$D$21,"*Bottke*")</f>
        <v/>
      </c>
      <c r="I46" s="106">
        <f>COUNTIF($W$5:$AD$21,"*Bottke*")</f>
        <v/>
      </c>
    </row>
    <row r="47">
      <c r="D47" s="102" t="inlineStr">
        <is>
          <t>Bower</t>
        </is>
      </c>
      <c r="E47" s="106">
        <f>COUNTIF($E$5:$H$21,"*Bower*")</f>
        <v/>
      </c>
      <c r="F47" s="106">
        <f>COUNTIF($I$5:$N$21,"*Bower*")</f>
        <v/>
      </c>
      <c r="G47" s="106">
        <f>COUNTIF($O$5:$V$21,"*Bower*")</f>
        <v/>
      </c>
      <c r="H47" s="106">
        <f>COUNTIF($C$5:$D$21,"*Bower*")</f>
        <v/>
      </c>
      <c r="I47" s="106">
        <f>COUNTIF($W$5:$AD$21,"*Bower*")</f>
        <v/>
      </c>
    </row>
    <row r="48">
      <c r="D48" s="102" t="inlineStr">
        <is>
          <t>Gaspar</t>
        </is>
      </c>
      <c r="E48" s="106">
        <f>COUNTIF($E$5:$H$21,"*Gaspar*")</f>
        <v/>
      </c>
      <c r="F48" s="106">
        <f>COUNTIF($I$5:$N$21,"*Gaspar*")</f>
        <v/>
      </c>
      <c r="G48" s="106">
        <f>COUNTIF($O$5:$V$21,"*Gaspar*")</f>
        <v/>
      </c>
      <c r="H48" s="106">
        <f>COUNTIF($C$5:$D$21,"*Gaspar*")</f>
        <v/>
      </c>
      <c r="I48" s="106">
        <f>COUNTIF($W$5:$AD$21,"*Gaspar*")</f>
        <v/>
      </c>
    </row>
    <row r="49">
      <c r="D49" s="102" t="inlineStr">
        <is>
          <t>Kendrick</t>
        </is>
      </c>
      <c r="E49" s="106">
        <f>COUNTIF($E$5:$H$21,"*Kendrick*")</f>
        <v/>
      </c>
      <c r="F49" s="106">
        <f>COUNTIF($I$5:$N$21,"*Kendrick*")</f>
        <v/>
      </c>
      <c r="G49" s="106">
        <f>COUNTIF($O$5:$V$21,"*Kendrick*")</f>
        <v/>
      </c>
      <c r="H49" s="106">
        <f>COUNTIF($C$5:$D$21,"*Kendrick*")</f>
        <v/>
      </c>
      <c r="I49" s="106">
        <f>COUNTIF($W$5:$AD$21,"*Kendrick*")</f>
        <v/>
      </c>
    </row>
    <row r="50">
      <c r="D50" s="102" t="inlineStr">
        <is>
          <t>Patel</t>
        </is>
      </c>
      <c r="E50" s="106">
        <f>COUNTIF($E$5:$H$21,"*Patel*")</f>
        <v/>
      </c>
      <c r="F50" s="106">
        <f>COUNTIF($I$5:$N$21,"*Patel*")</f>
        <v/>
      </c>
      <c r="G50" s="106">
        <f>COUNTIF($O$5:$V$21,"*Patel*")</f>
        <v/>
      </c>
      <c r="H50" s="106">
        <f>COUNTIF($C$5:$D$21,"*Patel*")</f>
        <v/>
      </c>
      <c r="I50" s="106">
        <f>COUNTIF($W$5:$AD$21,"*Patel*")</f>
        <v/>
      </c>
    </row>
    <row r="51">
      <c r="D51" s="102" t="inlineStr">
        <is>
          <t>Sublette</t>
        </is>
      </c>
      <c r="E51" s="106">
        <f>COUNTIF($E$5:$H$21,"*Sublette*")</f>
        <v/>
      </c>
      <c r="F51" s="106">
        <f>COUNTIF($I$5:$N$21,"*Sublette*")</f>
        <v/>
      </c>
      <c r="G51" s="106">
        <f>COUNTIF($O$5:$V$21,"*Sublette*")</f>
        <v/>
      </c>
      <c r="H51" s="106">
        <f>COUNTIF($C$5:$D$21,"*Sublette*")</f>
        <v/>
      </c>
      <c r="I51" s="106">
        <f>COUNTIF($W$5:$AD$21,"*Sublette*")</f>
        <v/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/>
      </c>
      <c r="F53" s="107">
        <f>COUNTIF($I$5:$N$21,"*Johnson*")</f>
        <v/>
      </c>
      <c r="G53" s="107">
        <f>COUNTIF($O$5:$V$21,"*Johnson*")</f>
        <v/>
      </c>
      <c r="H53" s="107">
        <f>COUNTIF($C$5:$D$21,"*Johnson*")</f>
        <v/>
      </c>
      <c r="I53" s="107">
        <f>COUNTIF($W$5:$AD$21,"*Johnson*")</f>
        <v/>
      </c>
    </row>
    <row r="54">
      <c r="D54" s="103" t="inlineStr">
        <is>
          <t>Lux</t>
        </is>
      </c>
      <c r="E54" s="107">
        <f>COUNTIF($E$5:$H$21,"*Lux*")</f>
        <v/>
      </c>
      <c r="F54" s="107">
        <f>COUNTIF($I$5:$N$21,"*Lux*")</f>
        <v/>
      </c>
      <c r="G54" s="107">
        <f>COUNTIF($O$5:$V$21,"*Lux*")</f>
        <v/>
      </c>
      <c r="H54" s="107">
        <f>COUNTIF($C$5:$D$21,"*Lux*")</f>
        <v/>
      </c>
      <c r="I54" s="107">
        <f>COUNTIF($W$5:$AD$21,"*Lux*")</f>
        <v/>
      </c>
    </row>
    <row r="55">
      <c r="D55" s="103" t="inlineStr">
        <is>
          <t>Mautino</t>
        </is>
      </c>
      <c r="E55" s="107">
        <f>COUNTIF($E$5:$H$21,"*Mautino*")</f>
        <v/>
      </c>
      <c r="F55" s="107">
        <f>COUNTIF($I$5:$N$21,"*Mautino*")</f>
        <v/>
      </c>
      <c r="G55" s="107">
        <f>COUNTIF($O$5:$V$21,"*Mautino*")</f>
        <v/>
      </c>
      <c r="H55" s="107">
        <f>COUNTIF($C$5:$D$21,"*Mautino*")</f>
        <v/>
      </c>
      <c r="I55" s="107">
        <f>COUNTIF($W$5:$AD$21,"*Mautino*")</f>
        <v/>
      </c>
    </row>
    <row r="56">
      <c r="D56" s="103" t="inlineStr">
        <is>
          <t>Mudondo</t>
        </is>
      </c>
      <c r="E56" s="107">
        <f>COUNTIF($E$5:$H$21,"*Mudondo*")</f>
        <v/>
      </c>
      <c r="F56" s="107">
        <f>COUNTIF($I$5:$N$21,"*Mudondo*")</f>
        <v/>
      </c>
      <c r="G56" s="107">
        <f>COUNTIF($O$5:$V$21,"*Mudondo*")</f>
        <v/>
      </c>
      <c r="H56" s="107">
        <f>COUNTIF($C$5:$D$21,"*Mudondo*")</f>
        <v/>
      </c>
      <c r="I56" s="107">
        <f>COUNTIF($W$5:$AD$21,"*Mudondo*")</f>
        <v/>
      </c>
    </row>
    <row r="57">
      <c r="E57" s="95">
        <f>SUM(E38:E56)</f>
        <v/>
      </c>
      <c r="F57" s="95">
        <f>SUM(F38:F56)</f>
        <v/>
      </c>
      <c r="G57" s="95">
        <f>SUM(G38:G56)</f>
        <v/>
      </c>
      <c r="H57" s="95">
        <f>SUM(H38:H56)</f>
        <v/>
      </c>
      <c r="I57" s="95">
        <f>SUM(I38:I56)</f>
        <v/>
      </c>
    </row>
  </sheetData>
  <mergeCells count="116">
    <mergeCell ref="G21:H21"/>
    <mergeCell ref="C6:D6"/>
    <mergeCell ref="C15:D15"/>
    <mergeCell ref="O19:V19"/>
    <mergeCell ref="E8:F8"/>
    <mergeCell ref="O9:V9"/>
    <mergeCell ref="C27:K27"/>
    <mergeCell ref="I16:J16"/>
    <mergeCell ref="W20:AD20"/>
    <mergeCell ref="O5:V5"/>
    <mergeCell ref="G18:H18"/>
    <mergeCell ref="I18:J18"/>
    <mergeCell ref="W12:AD12"/>
    <mergeCell ref="C25:K26"/>
    <mergeCell ref="O12:V12"/>
    <mergeCell ref="W9:AD9"/>
    <mergeCell ref="AG5:AG6"/>
    <mergeCell ref="G20:H20"/>
    <mergeCell ref="I20:J20"/>
    <mergeCell ref="K5:M5"/>
    <mergeCell ref="O14:V14"/>
    <mergeCell ref="K11:M11"/>
    <mergeCell ref="E12:F12"/>
    <mergeCell ref="O7:V7"/>
    <mergeCell ref="W4:AD4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K8:M8"/>
    <mergeCell ref="E4:F4"/>
    <mergeCell ref="G7:H7"/>
    <mergeCell ref="C7:D8"/>
    <mergeCell ref="I7:J7"/>
    <mergeCell ref="K14:M14"/>
    <mergeCell ref="K15:N15"/>
    <mergeCell ref="K7:M7"/>
    <mergeCell ref="K4:M4"/>
    <mergeCell ref="AG8:AG9"/>
    <mergeCell ref="I8:J8"/>
    <mergeCell ref="I17:J17"/>
    <mergeCell ref="O17:V17"/>
    <mergeCell ref="O11:V11"/>
    <mergeCell ref="C10:D11"/>
    <mergeCell ref="C16:D17"/>
    <mergeCell ref="I19:J19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W16:AD16"/>
    <mergeCell ref="E15:F15"/>
    <mergeCell ref="O16:V16"/>
    <mergeCell ref="G15:H15"/>
    <mergeCell ref="W18:AD18"/>
    <mergeCell ref="O8:V8"/>
    <mergeCell ref="W17:AD17"/>
    <mergeCell ref="E7:F7"/>
    <mergeCell ref="W11:AD11"/>
    <mergeCell ref="W19:AD19"/>
    <mergeCell ref="G8:H8"/>
    <mergeCell ref="E17:F17"/>
    <mergeCell ref="X25:AD25"/>
    <mergeCell ref="G17:H17"/>
    <mergeCell ref="AG11:AG12"/>
    <mergeCell ref="W5:AD5"/>
    <mergeCell ref="K18:N18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O21:V21"/>
    <mergeCell ref="G5:H5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C2:AD2" showDropDown="0" showInputMessage="1" showErrorMessage="1" allowBlank="1" prompt="To change the calendar year, go to cell P8 in About sheet"/>
    <dataValidation sqref="C5:D5" showDropDown="0" showInputMessage="1" showErrorMessage="1" allowBlank="1" prompt="Calendar days are automatically updated"/>
    <dataValidation sqref="C4:D4" showDropDown="0" showInputMessage="1" showErrorMessage="1" allowBlank="1" prompt="To change the starting day of the week, go to cell P12 in About sheet"/>
    <dataValidation sqref="C6:D6" showDropDown="0" showInputMessage="1" showErrorMessage="1" allowBlank="1" prompt="Enter daily notes below the calendar days, such as this cell"/>
    <dataValidation sqref="C25:K26" showDropDown="0" showInputMessage="1" showErrorMessage="1" allowBlank="1" prompt="Enter monthly notes in cells C24 to K28"/>
    <dataValidation sqref="O25:U25" showDropDown="0" showInputMessage="1" showErrorMessage="1" allowBlank="1" prompt="Previous month calendar"/>
    <dataValidation sqref="X25:AD25" showDropDown="0" showInputMessage="1" showErrorMessage="1" allowBlank="1" prompt="Next month calendar"/>
  </dataValidations>
  <printOptions horizontalCentered="1"/>
  <pageMargins left="0.5" right="0.5" top="0.25" bottom="0.25" header="0.25" footer="0.25"/>
  <pageSetup orientation="landscape" scale="88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6" zoomScaleNormal="100" workbookViewId="0">
      <selection activeCell="K15" sqref="K15:N15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DATE('2027'!P8,5,1)</f>
        <v/>
      </c>
      <c r="AF2" s="29" t="n"/>
      <c r="AG2" s="149" t="inlineStr">
        <is>
          <t>Away: Mudondo
CBP - 2 weeks: 
Peds ER: Hard
Med A: Mautino &amp; Schutt
OB: Bottke, Johnson &amp; Stanek</t>
        </is>
      </c>
      <c r="AK2" s="149" t="inlineStr">
        <is>
          <t xml:space="preserve">GYN/CM: Gaspar
NICU: 
R3 - Ortho: 
R2 - Peds: Sublette
Derm: 
Ultrasound: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1" t="n"/>
      <c r="H6" s="202" t="n"/>
      <c r="I6" s="201" t="n"/>
      <c r="J6" s="202" t="n"/>
      <c r="K6" s="201" t="n"/>
      <c r="L6" s="204" t="n"/>
      <c r="M6" s="204" t="n"/>
      <c r="N6" s="202" t="n"/>
      <c r="O6" s="201" t="n"/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Schutt
Johnson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/>
      </c>
      <c r="AI6" s="94">
        <f>COUNTIF($C$5:$AD$21,"*Oehm*")</f>
        <v/>
      </c>
      <c r="AJ6" s="94">
        <f>COUNTIF($C$5:$AD$21,"*Schutt*")</f>
        <v/>
      </c>
      <c r="AK6" s="94">
        <f>COUNTIF($C$5:$AD$21,"*Stanek*")</f>
        <v/>
      </c>
      <c r="AL6" s="94">
        <f>COUNTIF($C$5:$AD$21,"*Strand*")</f>
        <v/>
      </c>
      <c r="AM6" s="94">
        <f>COUNTIF($C$5:$AD$21,"*Wohlgemuth*")</f>
        <v/>
      </c>
      <c r="AN6" s="92">
        <f>SUM(AH6:AM6)</f>
        <v/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Oehm
Kendrick</t>
        </is>
      </c>
      <c r="D9" s="202" t="n"/>
      <c r="E9" s="203" t="inlineStr">
        <is>
          <t>Schutt
Lux</t>
        </is>
      </c>
      <c r="F9" s="202" t="n"/>
      <c r="G9" s="203" t="inlineStr">
        <is>
          <t>Stanek
Mautino</t>
        </is>
      </c>
      <c r="H9" s="202" t="n"/>
      <c r="I9" s="203" t="inlineStr">
        <is>
          <t>Strand
Sublette</t>
        </is>
      </c>
      <c r="J9" s="202" t="n"/>
      <c r="K9" s="203" t="inlineStr">
        <is>
          <t>Schutt
Mautino</t>
        </is>
      </c>
      <c r="L9" s="204" t="n"/>
      <c r="M9" s="204" t="n"/>
      <c r="N9" s="202" t="n"/>
      <c r="O9" s="203" t="inlineStr">
        <is>
          <t>Wohlgemuth
Gaspar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Stanek
Bottke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/>
      </c>
      <c r="AI9" s="94">
        <f>COUNTIF($C$5:$AD$21,"*Bottke*")</f>
        <v/>
      </c>
      <c r="AJ9" s="94">
        <f>COUNTIF($C$5:$AD$21,"*Bower*")</f>
        <v/>
      </c>
      <c r="AK9" s="94">
        <f>COUNTIF($C$5:$AD$21,"*Gaspar*")</f>
        <v/>
      </c>
      <c r="AL9" s="94">
        <f>COUNTIF($C$5:$AD$21,"*Kendrick*")</f>
        <v/>
      </c>
      <c r="AM9" s="94">
        <f>COUNTIF($C$5:$AD$21,"*Patel*")</f>
        <v/>
      </c>
      <c r="AN9" s="94">
        <f>COUNTIF($C$5:$AD$21,"*Sublette*")</f>
        <v/>
      </c>
      <c r="AO9" s="92">
        <f>SUM(AH9:AN9)</f>
        <v/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Oehm
Bower</t>
        </is>
      </c>
      <c r="D12" s="202" t="n"/>
      <c r="E12" s="203" t="inlineStr">
        <is>
          <t>Stanek
Sublette</t>
        </is>
      </c>
      <c r="F12" s="202" t="n"/>
      <c r="G12" s="203" t="inlineStr">
        <is>
          <t>Schutt
Johnson</t>
        </is>
      </c>
      <c r="H12" s="202" t="n"/>
      <c r="I12" s="203" t="inlineStr">
        <is>
          <t>Stanek
Bower</t>
        </is>
      </c>
      <c r="J12" s="202" t="n"/>
      <c r="K12" s="203" t="inlineStr">
        <is>
          <t>Oehm
Patel</t>
        </is>
      </c>
      <c r="L12" s="204" t="n"/>
      <c r="M12" s="204" t="n"/>
      <c r="N12" s="202" t="n"/>
      <c r="O12" s="203" t="inlineStr">
        <is>
          <t>Stanek
Sublette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Strand
Bower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/>
      </c>
      <c r="AI12" s="94">
        <f>COUNTIF($C$5:$AD$21,"*Lux*")</f>
        <v/>
      </c>
      <c r="AJ12" s="94">
        <f>COUNTIF($C$5:$AD$21,"*Mautino*")</f>
        <v/>
      </c>
      <c r="AK12" s="94">
        <f>COUNTIF($C$5:$AD$21,"*Mudondo*")</f>
        <v/>
      </c>
      <c r="AL12" s="84">
        <f>SUM(AH12:AK12)</f>
        <v/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Schutt
Sublette</t>
        </is>
      </c>
      <c r="D15" s="202" t="n"/>
      <c r="E15" s="203" t="inlineStr">
        <is>
          <t>Stanek
Johnson</t>
        </is>
      </c>
      <c r="F15" s="202" t="n"/>
      <c r="G15" s="203" t="inlineStr">
        <is>
          <t>Strand
Beutel</t>
        </is>
      </c>
      <c r="H15" s="202" t="n"/>
      <c r="I15" s="203" t="inlineStr">
        <is>
          <t>Schutt
Mautino</t>
        </is>
      </c>
      <c r="J15" s="202" t="n"/>
      <c r="K15" s="203" t="inlineStr">
        <is>
          <t>Stanek
Bower</t>
        </is>
      </c>
      <c r="L15" s="204" t="n"/>
      <c r="M15" s="204" t="n"/>
      <c r="N15" s="202" t="n"/>
      <c r="O15" s="203" t="inlineStr">
        <is>
          <t>Schutt
Beutel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Strand
Mautino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211" t="n"/>
      <c r="J16" s="212" t="n"/>
      <c r="K16" s="45" t="n"/>
      <c r="L16" s="47" t="n"/>
      <c r="M16" s="47" t="n"/>
      <c r="N16" s="46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N17" s="210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3" t="inlineStr">
        <is>
          <t>Oehm
Gaspar</t>
        </is>
      </c>
      <c r="D18" s="202" t="n"/>
      <c r="E18" s="203" t="inlineStr">
        <is>
          <t>Hard
Kendrick</t>
        </is>
      </c>
      <c r="F18" s="202" t="n"/>
      <c r="G18" s="203" t="inlineStr">
        <is>
          <t>Oehm
Mautino</t>
        </is>
      </c>
      <c r="H18" s="202" t="n"/>
      <c r="I18" s="203" t="inlineStr">
        <is>
          <t>Wohlgemuth
Sublette</t>
        </is>
      </c>
      <c r="J18" s="202" t="n"/>
      <c r="K18" s="131" t="inlineStr">
        <is>
          <t>Hard
Lux</t>
        </is>
      </c>
      <c r="L18" s="204" t="n"/>
      <c r="M18" s="204" t="n"/>
      <c r="N18" s="128" t="n"/>
      <c r="O18" s="203" t="inlineStr">
        <is>
          <t>Oehm
Bower</t>
        </is>
      </c>
      <c r="P18" s="204" t="n"/>
      <c r="Q18" s="204" t="n"/>
      <c r="R18" s="204" t="n"/>
      <c r="S18" s="204" t="n"/>
      <c r="T18" s="204" t="n"/>
      <c r="U18" s="204" t="n"/>
      <c r="V18" s="202" t="n"/>
      <c r="W18" s="203" t="inlineStr">
        <is>
          <t>Hard
Lux</t>
        </is>
      </c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62" t="n"/>
      <c r="F19" s="163" t="n"/>
      <c r="G19" s="137" t="n"/>
      <c r="H19" s="138" t="n"/>
      <c r="I19" s="211" t="n"/>
      <c r="J19" s="212" t="n"/>
      <c r="K19" s="45" t="n"/>
      <c r="L19" s="47" t="n"/>
      <c r="M19" s="47" t="n"/>
      <c r="N19" s="46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25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N20" s="210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34" t="inlineStr">
        <is>
          <t>Wohlgemuth
Gaspar</t>
        </is>
      </c>
      <c r="D21" s="202" t="n"/>
      <c r="E21" s="203" t="inlineStr">
        <is>
          <t>Oehm
Kendrick</t>
        </is>
      </c>
      <c r="F21" s="202" t="n"/>
      <c r="G21" s="201" t="n"/>
      <c r="H21" s="202" t="n"/>
      <c r="I21" s="201" t="n"/>
      <c r="J21" s="202" t="n"/>
      <c r="K21" s="126" t="n"/>
      <c r="L21" s="204" t="n"/>
      <c r="M21" s="204" t="n"/>
      <c r="N21" s="128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 ht="15" customHeight="1">
      <c r="A32" s="1" t="n"/>
      <c r="C32" s="122" t="n"/>
      <c r="D32" s="122" t="n"/>
      <c r="E32" s="122" t="n"/>
      <c r="F32" s="122" t="n"/>
      <c r="G32" s="122" t="n"/>
      <c r="H32" s="122" t="n"/>
      <c r="I32" s="122" t="n"/>
      <c r="J32" s="122" t="n"/>
      <c r="K32" s="122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/>
      </c>
      <c r="F38" s="104">
        <f>COUNTIF($I$5:$N$21,"*Hard*")</f>
        <v/>
      </c>
      <c r="G38" s="104">
        <f>COUNTIF($O$5:$V$21,"*Hard*")</f>
        <v/>
      </c>
      <c r="H38" s="104">
        <f>COUNTIF($C$5:$D$21,"*Hard*")</f>
        <v/>
      </c>
      <c r="I38" s="104">
        <f>COUNTIF($W$5:$AD$21,"*Hard*")</f>
        <v/>
      </c>
    </row>
    <row r="39">
      <c r="D39" s="101" t="inlineStr">
        <is>
          <t>Oehm</t>
        </is>
      </c>
      <c r="E39" s="104">
        <f>COUNTIF($E$5:$H$21,"*Oehm*")</f>
        <v/>
      </c>
      <c r="F39" s="104">
        <f>COUNTIF($I$5:$N$21,"*Oehm*")</f>
        <v/>
      </c>
      <c r="G39" s="104">
        <f>COUNTIF($O$5:$V$21,"*Oehm*")</f>
        <v/>
      </c>
      <c r="H39" s="104">
        <f>COUNTIF($C$5:$D$21,"*Oehm*")</f>
        <v/>
      </c>
      <c r="I39" s="104">
        <f>COUNTIF($W$5:$AD$21,"*Oehm*")</f>
        <v/>
      </c>
    </row>
    <row r="40">
      <c r="D40" s="101" t="inlineStr">
        <is>
          <t>Schutt</t>
        </is>
      </c>
      <c r="E40" s="104">
        <f>COUNTIF($E$5:$H$21,"*Schutt*")</f>
        <v/>
      </c>
      <c r="F40" s="104">
        <f>COUNTIF($I$5:$N$21,"*Schutt*")</f>
        <v/>
      </c>
      <c r="G40" s="104">
        <f>COUNTIF($O$5:$V$21,"*Schutt*")</f>
        <v/>
      </c>
      <c r="H40" s="104">
        <f>COUNTIF($C$5:$D$21,"*Schutt*")</f>
        <v/>
      </c>
      <c r="I40" s="104">
        <f>COUNTIF($W$5:$AD$21,"*Schutt*")</f>
        <v/>
      </c>
    </row>
    <row r="41">
      <c r="D41" s="101" t="inlineStr">
        <is>
          <t>Stanek</t>
        </is>
      </c>
      <c r="E41" s="104">
        <f>COUNTIF($E$5:$H$21,"*Stanek*")</f>
        <v/>
      </c>
      <c r="F41" s="104">
        <f>COUNTIF($I$5:$N$21,"*Stanek*")</f>
        <v/>
      </c>
      <c r="G41" s="104">
        <f>COUNTIF($O$5:$V$21,"*Stanek*")</f>
        <v/>
      </c>
      <c r="H41" s="104">
        <f>COUNTIF($C$5:$D$21,"*Stanek*")</f>
        <v/>
      </c>
      <c r="I41" s="104">
        <f>COUNTIF($W$5:$AD$21,"*Stanek*")</f>
        <v/>
      </c>
    </row>
    <row r="42">
      <c r="D42" s="101" t="inlineStr">
        <is>
          <t>Strand</t>
        </is>
      </c>
      <c r="E42" s="104">
        <f>COUNTIF($E$5:$H$21,"*Strand*")</f>
        <v/>
      </c>
      <c r="F42" s="104">
        <f>COUNTIF($I$5:$N$21,"*Strand*")</f>
        <v/>
      </c>
      <c r="G42" s="104">
        <f>COUNTIF($O$5:$V$21,"*Strand*")</f>
        <v/>
      </c>
      <c r="H42" s="104">
        <f>COUNTIF($C$5:$D$21,"*Strand*")</f>
        <v/>
      </c>
      <c r="I42" s="104">
        <f>COUNTIF($W$5:$AD$21,"*Strand*")</f>
        <v/>
      </c>
    </row>
    <row r="43">
      <c r="D43" s="101" t="inlineStr">
        <is>
          <t>Wohlgemuth</t>
        </is>
      </c>
      <c r="E43" s="104">
        <f>COUNTIF($E$5:$H$21,"*Wohlgemuth*")</f>
        <v/>
      </c>
      <c r="F43" s="104">
        <f>COUNTIF($I$5:$N$21,"*Wohlgemuth*")</f>
        <v/>
      </c>
      <c r="G43" s="104">
        <f>COUNTIF($O$5:$V$21,"*Wohlgemuth*")</f>
        <v/>
      </c>
      <c r="H43" s="104">
        <f>COUNTIF($C$5:$D$21,"*Wohlgemuth*")</f>
        <v/>
      </c>
      <c r="I43" s="104">
        <f>COUNTIF($W$5:$AD$21,"*Wohlgemuth*")</f>
        <v/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/>
      </c>
      <c r="F45" s="106">
        <f>COUNTIF($I$5:$N$21,"*Beutel*")</f>
        <v/>
      </c>
      <c r="G45" s="106">
        <f>COUNTIF($O$5:$V$21,"*Beutel*")</f>
        <v/>
      </c>
      <c r="H45" s="106">
        <f>COUNTIF($C$5:$D$21,"*Beutel*")</f>
        <v/>
      </c>
      <c r="I45" s="106">
        <f>COUNTIF($W$5:$AD$21,"*Beutel*")</f>
        <v/>
      </c>
    </row>
    <row r="46">
      <c r="D46" s="102" t="inlineStr">
        <is>
          <t>Bottke</t>
        </is>
      </c>
      <c r="E46" s="106">
        <f>COUNTIF($E$5:$H$21,"*Bottke*")</f>
        <v/>
      </c>
      <c r="F46" s="106">
        <f>COUNTIF($I$5:$N$21,"*Bottke*")</f>
        <v/>
      </c>
      <c r="G46" s="106">
        <f>COUNTIF($O$5:$V$21,"*Bottke*")</f>
        <v/>
      </c>
      <c r="H46" s="106">
        <f>COUNTIF($C$5:$D$21,"*Bottke*")</f>
        <v/>
      </c>
      <c r="I46" s="106">
        <f>COUNTIF($W$5:$AD$21,"*Bottke*")</f>
        <v/>
      </c>
    </row>
    <row r="47">
      <c r="D47" s="102" t="inlineStr">
        <is>
          <t>Bower</t>
        </is>
      </c>
      <c r="E47" s="106">
        <f>COUNTIF($E$5:$H$21,"*Bower*")</f>
        <v/>
      </c>
      <c r="F47" s="106">
        <f>COUNTIF($I$5:$N$21,"*Bower*")</f>
        <v/>
      </c>
      <c r="G47" s="106">
        <f>COUNTIF($O$5:$V$21,"*Bower*")</f>
        <v/>
      </c>
      <c r="H47" s="106">
        <f>COUNTIF($C$5:$D$21,"*Bower*")</f>
        <v/>
      </c>
      <c r="I47" s="106">
        <f>COUNTIF($W$5:$AD$21,"*Bower*")</f>
        <v/>
      </c>
    </row>
    <row r="48">
      <c r="D48" s="102" t="inlineStr">
        <is>
          <t>Gaspar</t>
        </is>
      </c>
      <c r="E48" s="106">
        <f>COUNTIF($E$5:$H$21,"*Gaspar*")</f>
        <v/>
      </c>
      <c r="F48" s="106">
        <f>COUNTIF($I$5:$N$21,"*Gaspar*")</f>
        <v/>
      </c>
      <c r="G48" s="106">
        <f>COUNTIF($O$5:$V$21,"*Gaspar*")</f>
        <v/>
      </c>
      <c r="H48" s="106">
        <f>COUNTIF($C$5:$D$21,"*Gaspar*")</f>
        <v/>
      </c>
      <c r="I48" s="106">
        <f>COUNTIF($W$5:$AD$21,"*Gaspar*")</f>
        <v/>
      </c>
    </row>
    <row r="49">
      <c r="D49" s="102" t="inlineStr">
        <is>
          <t>Kendrick</t>
        </is>
      </c>
      <c r="E49" s="106">
        <f>COUNTIF($E$5:$H$21,"*Kendrick*")</f>
        <v/>
      </c>
      <c r="F49" s="106">
        <f>COUNTIF($I$5:$N$21,"*Kendrick*")</f>
        <v/>
      </c>
      <c r="G49" s="106">
        <f>COUNTIF($O$5:$V$21,"*Kendrick*")</f>
        <v/>
      </c>
      <c r="H49" s="106">
        <f>COUNTIF($C$5:$D$21,"*Kendrick*")</f>
        <v/>
      </c>
      <c r="I49" s="106">
        <f>COUNTIF($W$5:$AD$21,"*Kendrick*")</f>
        <v/>
      </c>
    </row>
    <row r="50">
      <c r="D50" s="102" t="inlineStr">
        <is>
          <t>Patel</t>
        </is>
      </c>
      <c r="E50" s="106">
        <f>COUNTIF($E$5:$H$21,"*Patel*")</f>
        <v/>
      </c>
      <c r="F50" s="106">
        <f>COUNTIF($I$5:$N$21,"*Patel*")</f>
        <v/>
      </c>
      <c r="G50" s="106">
        <f>COUNTIF($O$5:$V$21,"*Patel*")</f>
        <v/>
      </c>
      <c r="H50" s="106">
        <f>COUNTIF($C$5:$D$21,"*Patel*")</f>
        <v/>
      </c>
      <c r="I50" s="106">
        <f>COUNTIF($W$5:$AD$21,"*Patel*")</f>
        <v/>
      </c>
    </row>
    <row r="51">
      <c r="D51" s="102" t="inlineStr">
        <is>
          <t>Sublette</t>
        </is>
      </c>
      <c r="E51" s="106">
        <f>COUNTIF($E$5:$H$21,"*Sublette*")</f>
        <v/>
      </c>
      <c r="F51" s="106">
        <f>COUNTIF($I$5:$N$21,"*Sublette*")</f>
        <v/>
      </c>
      <c r="G51" s="106">
        <f>COUNTIF($O$5:$V$21,"*Sublette*")</f>
        <v/>
      </c>
      <c r="H51" s="106">
        <f>COUNTIF($C$5:$D$21,"*Sublette*")</f>
        <v/>
      </c>
      <c r="I51" s="106">
        <f>COUNTIF($W$5:$AD$21,"*Sublette*")</f>
        <v/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/>
      </c>
      <c r="F53" s="107">
        <f>COUNTIF($I$5:$N$21,"*Johnson*")</f>
        <v/>
      </c>
      <c r="G53" s="107">
        <f>COUNTIF($O$5:$V$21,"*Johnson*")</f>
        <v/>
      </c>
      <c r="H53" s="107">
        <f>COUNTIF($C$5:$D$21,"*Johnson*")</f>
        <v/>
      </c>
      <c r="I53" s="107">
        <f>COUNTIF($W$5:$AD$21,"*Johnson*")</f>
        <v/>
      </c>
    </row>
    <row r="54">
      <c r="D54" s="103" t="inlineStr">
        <is>
          <t>Lux</t>
        </is>
      </c>
      <c r="E54" s="107">
        <f>COUNTIF($E$5:$H$21,"*Lux*")</f>
        <v/>
      </c>
      <c r="F54" s="107">
        <f>COUNTIF($I$5:$N$21,"*Lux*")</f>
        <v/>
      </c>
      <c r="G54" s="107">
        <f>COUNTIF($O$5:$V$21,"*Lux*")</f>
        <v/>
      </c>
      <c r="H54" s="107">
        <f>COUNTIF($C$5:$D$21,"*Lux*")</f>
        <v/>
      </c>
      <c r="I54" s="107">
        <f>COUNTIF($W$5:$AD$21,"*Lux*")</f>
        <v/>
      </c>
    </row>
    <row r="55">
      <c r="D55" s="103" t="inlineStr">
        <is>
          <t>Mautino</t>
        </is>
      </c>
      <c r="E55" s="107">
        <f>COUNTIF($E$5:$H$21,"*Mautino*")</f>
        <v/>
      </c>
      <c r="F55" s="107">
        <f>COUNTIF($I$5:$N$21,"*Mautino*")</f>
        <v/>
      </c>
      <c r="G55" s="107">
        <f>COUNTIF($O$5:$V$21,"*Mautino*")</f>
        <v/>
      </c>
      <c r="H55" s="107">
        <f>COUNTIF($C$5:$D$21,"*Mautino*")</f>
        <v/>
      </c>
      <c r="I55" s="107">
        <f>COUNTIF($W$5:$AD$21,"*Mautino*")</f>
        <v/>
      </c>
    </row>
    <row r="56">
      <c r="D56" s="103" t="inlineStr">
        <is>
          <t>Mudondo</t>
        </is>
      </c>
      <c r="E56" s="107">
        <f>COUNTIF($E$5:$H$21,"*Mudondo*")</f>
        <v/>
      </c>
      <c r="F56" s="107">
        <f>COUNTIF($I$5:$N$21,"*Mudondo*")</f>
        <v/>
      </c>
      <c r="G56" s="107">
        <f>COUNTIF($O$5:$V$21,"*Mudondo*")</f>
        <v/>
      </c>
      <c r="H56" s="107">
        <f>COUNTIF($C$5:$D$21,"*Mudondo*")</f>
        <v/>
      </c>
      <c r="I56" s="107">
        <f>COUNTIF($W$5:$AD$21,"*Mudondo*")</f>
        <v/>
      </c>
    </row>
    <row r="57">
      <c r="E57" s="95">
        <f>SUM(E38:E56)</f>
        <v/>
      </c>
      <c r="F57" s="95">
        <f>SUM(F38:F56)</f>
        <v/>
      </c>
      <c r="G57" s="95">
        <f>SUM(G38:G56)</f>
        <v/>
      </c>
      <c r="H57" s="95">
        <f>SUM(H38:H56)</f>
        <v/>
      </c>
      <c r="I57" s="95">
        <f>SUM(I38:I56)</f>
        <v/>
      </c>
    </row>
  </sheetData>
  <mergeCells count="115">
    <mergeCell ref="G21:H21"/>
    <mergeCell ref="C6:D6"/>
    <mergeCell ref="C15:D15"/>
    <mergeCell ref="E8:F8"/>
    <mergeCell ref="O9:V9"/>
    <mergeCell ref="C27:K27"/>
    <mergeCell ref="I16:J16"/>
    <mergeCell ref="W20:AD20"/>
    <mergeCell ref="O5:V5"/>
    <mergeCell ref="K17:M17"/>
    <mergeCell ref="G18:H18"/>
    <mergeCell ref="I18:J18"/>
    <mergeCell ref="W12:AD12"/>
    <mergeCell ref="C25:K26"/>
    <mergeCell ref="O12:V12"/>
    <mergeCell ref="W9:AD9"/>
    <mergeCell ref="AG5:AG6"/>
    <mergeCell ref="G20:H20"/>
    <mergeCell ref="I20:J20"/>
    <mergeCell ref="K5:M5"/>
    <mergeCell ref="O14:V14"/>
    <mergeCell ref="K20:M20"/>
    <mergeCell ref="K11:M11"/>
    <mergeCell ref="E12:F12"/>
    <mergeCell ref="W4:AD4"/>
    <mergeCell ref="O7:V7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K8:M8"/>
    <mergeCell ref="E4:F4"/>
    <mergeCell ref="G7:H7"/>
    <mergeCell ref="C7:D8"/>
    <mergeCell ref="I7:J7"/>
    <mergeCell ref="K14:M14"/>
    <mergeCell ref="K15:N15"/>
    <mergeCell ref="K7:M7"/>
    <mergeCell ref="K4:M4"/>
    <mergeCell ref="AG8:AG9"/>
    <mergeCell ref="K18:M18"/>
    <mergeCell ref="I8:J8"/>
    <mergeCell ref="I17:J17"/>
    <mergeCell ref="O17:V17"/>
    <mergeCell ref="O11:V11"/>
    <mergeCell ref="C10:D11"/>
    <mergeCell ref="C16:D17"/>
    <mergeCell ref="I19:J19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K21:M21"/>
    <mergeCell ref="G8:H8"/>
    <mergeCell ref="E17:F17"/>
    <mergeCell ref="X25:AD25"/>
    <mergeCell ref="G17:H17"/>
    <mergeCell ref="AG11:AG12"/>
    <mergeCell ref="W5:AD5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G5:H5"/>
    <mergeCell ref="O21:V21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X25:AD25" showDropDown="0" showInputMessage="1" showErrorMessage="1" allowBlank="1" prompt="Next month calendar"/>
    <dataValidation sqref="O25:U25" showDropDown="0" showInputMessage="1" showErrorMessage="1" allowBlank="1" prompt="Previous month calendar"/>
    <dataValidation sqref="C25:K26" showDropDown="0" showInputMessage="1" showErrorMessage="1" allowBlank="1" prompt="Enter monthly notes in cells C24 to K28"/>
    <dataValidation sqref="C6:D6" showDropDown="0" showInputMessage="1" showErrorMessage="1" allowBlank="1" prompt="Enter daily notes below the calendar days, such as this cell"/>
    <dataValidation sqref="C4:D4" showDropDown="0" showInputMessage="1" showErrorMessage="1" allowBlank="1" prompt="To change the starting day of the week, go to cell P12 in About sheet"/>
    <dataValidation sqref="C5:D5" showDropDown="0" showInputMessage="1" showErrorMessage="1" allowBlank="1" prompt="Calendar days are automatically updated"/>
    <dataValidation sqref="C2:AD2" showDropDown="0" showInputMessage="1" showErrorMessage="1" allowBlank="1" prompt="To change the calendar year, go to cell P8 in About sheet"/>
  </dataValidations>
  <printOptions horizontalCentered="1"/>
  <pageMargins left="0.5" right="0.5" top="0.25" bottom="0.25" header="0.25" footer="0.25"/>
  <pageSetup orientation="landscape" scale="88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2" zoomScaleNormal="100" workbookViewId="0">
      <selection activeCell="AJ15" sqref="AJ15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DATE('2027'!P8,6,1)</f>
        <v/>
      </c>
      <c r="AF2" s="29" t="n"/>
      <c r="AG2" s="149" t="inlineStr">
        <is>
          <t>Away: 
CBP - 2 weeks: Johnson
Peds ER: Schutt
Med A: Beutel &amp; Oehm
OB: Patel &amp; Wohlgemuth</t>
        </is>
      </c>
      <c r="AK2" s="149" t="inlineStr">
        <is>
          <t xml:space="preserve">GYN/CM: Bower
NICU: 
R3 - Ortho: Mautino
R2 - Peds: 
Derm: 
Ultrasound: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3" t="inlineStr">
        <is>
          <t>Wohlgemuth
Beutel</t>
        </is>
      </c>
      <c r="H6" s="202" t="n"/>
      <c r="I6" s="203" t="inlineStr">
        <is>
          <t>Hard
Kendrick</t>
        </is>
      </c>
      <c r="J6" s="202" t="n"/>
      <c r="K6" s="203" t="inlineStr">
        <is>
          <t>Stanek
Sublette</t>
        </is>
      </c>
      <c r="L6" s="204" t="n"/>
      <c r="M6" s="204" t="n"/>
      <c r="N6" s="202" t="n"/>
      <c r="O6" s="203" t="inlineStr">
        <is>
          <t>Wohlgemuth
Mudondo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Oehm
Gaspar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/>
      </c>
      <c r="AI6" s="94">
        <f>COUNTIF($C$5:$AD$21,"*Oehm*")</f>
        <v/>
      </c>
      <c r="AJ6" s="94">
        <f>COUNTIF($C$5:$AD$21,"*Schutt*")</f>
        <v/>
      </c>
      <c r="AK6" s="94">
        <f>COUNTIF($C$5:$AD$21,"*Stanek*")</f>
        <v/>
      </c>
      <c r="AL6" s="94">
        <f>COUNTIF($C$5:$AD$21,"*Strand*")</f>
        <v/>
      </c>
      <c r="AM6" s="94">
        <f>COUNTIF($C$5:$AD$21,"*Wohlgemuth*")</f>
        <v/>
      </c>
      <c r="AN6" s="92">
        <f>SUM(AH6:AM6)</f>
        <v/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Wohlgemuth
Beutel</t>
        </is>
      </c>
      <c r="D9" s="202" t="n"/>
      <c r="E9" s="203" t="inlineStr">
        <is>
          <t>Hard
Bottke</t>
        </is>
      </c>
      <c r="F9" s="202" t="n"/>
      <c r="G9" s="203" t="inlineStr">
        <is>
          <t>Oehm
Bower</t>
        </is>
      </c>
      <c r="H9" s="202" t="n"/>
      <c r="I9" s="203" t="inlineStr">
        <is>
          <t>Wohlgemuth
Sublette</t>
        </is>
      </c>
      <c r="J9" s="202" t="n"/>
      <c r="K9" s="203" t="inlineStr">
        <is>
          <t>Hard
Mudondo</t>
        </is>
      </c>
      <c r="L9" s="204" t="n"/>
      <c r="M9" s="204" t="n"/>
      <c r="N9" s="202" t="n"/>
      <c r="O9" s="203" t="inlineStr">
        <is>
          <t>Stanek
Beutel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Oehm
Mudondo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/>
      </c>
      <c r="AI9" s="94">
        <f>COUNTIF($C$5:$AD$21,"*Bottke*")</f>
        <v/>
      </c>
      <c r="AJ9" s="94">
        <f>COUNTIF($C$5:$AD$21,"*Bower*")</f>
        <v/>
      </c>
      <c r="AK9" s="94">
        <f>COUNTIF($C$5:$AD$21,"*Gaspar*")</f>
        <v/>
      </c>
      <c r="AL9" s="94">
        <f>COUNTIF($C$5:$AD$21,"*Kendrick*")</f>
        <v/>
      </c>
      <c r="AM9" s="94">
        <f>COUNTIF($C$5:$AD$21,"*Patel*")</f>
        <v/>
      </c>
      <c r="AN9" s="94">
        <f>COUNTIF($C$5:$AD$21,"*Sublette*")</f>
        <v/>
      </c>
      <c r="AO9" s="92">
        <f>SUM(AH9:AN9)</f>
        <v/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Wohlgemuth
Bottke</t>
        </is>
      </c>
      <c r="D12" s="202" t="n"/>
      <c r="E12" s="203" t="inlineStr">
        <is>
          <t>Oehm
Sublette</t>
        </is>
      </c>
      <c r="F12" s="202" t="n"/>
      <c r="G12" s="234" t="inlineStr">
        <is>
          <t>Strand
Kendrick</t>
        </is>
      </c>
      <c r="H12" s="202" t="n"/>
      <c r="I12" s="203" t="inlineStr">
        <is>
          <t>Oehm
Patel</t>
        </is>
      </c>
      <c r="J12" s="202" t="n"/>
      <c r="K12" s="203" t="inlineStr">
        <is>
          <t>Stanek
Lux</t>
        </is>
      </c>
      <c r="L12" s="204" t="n"/>
      <c r="M12" s="204" t="n"/>
      <c r="N12" s="202" t="n"/>
      <c r="O12" s="203" t="inlineStr">
        <is>
          <t>Strand
Bottke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Oehm
Sublette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/>
      </c>
      <c r="AI12" s="94">
        <f>COUNTIF($C$5:$AD$21,"*Lux*")</f>
        <v/>
      </c>
      <c r="AJ12" s="94">
        <f>COUNTIF($C$5:$AD$21,"*Mautino*")</f>
        <v/>
      </c>
      <c r="AK12" s="94">
        <f>COUNTIF($C$5:$AD$21,"*Mudondo*")</f>
        <v/>
      </c>
      <c r="AL12" s="84">
        <f>SUM(AH12:AK12)</f>
        <v/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1" t="n"/>
      <c r="D15" s="202" t="n"/>
      <c r="E15" s="201" t="n"/>
      <c r="F15" s="202" t="n"/>
      <c r="G15" s="201" t="n"/>
      <c r="H15" s="202" t="n"/>
      <c r="I15" s="201" t="n"/>
      <c r="J15" s="202" t="n"/>
      <c r="K15" s="201" t="n"/>
      <c r="L15" s="204" t="n"/>
      <c r="M15" s="204" t="n"/>
      <c r="N15" s="202" t="n"/>
      <c r="O15" s="201" t="n"/>
      <c r="P15" s="204" t="n"/>
      <c r="Q15" s="204" t="n"/>
      <c r="R15" s="204" t="n"/>
      <c r="S15" s="204" t="n"/>
      <c r="T15" s="204" t="n"/>
      <c r="U15" s="204" t="n"/>
      <c r="V15" s="202" t="n"/>
      <c r="W15" s="201" t="n"/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45" t="n"/>
      <c r="J16" s="46" t="n"/>
      <c r="K16" s="45" t="n"/>
      <c r="L16" s="47" t="n"/>
      <c r="M16" s="47" t="n"/>
      <c r="N16" s="46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N17" s="210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1" t="n"/>
      <c r="D18" s="202" t="n"/>
      <c r="E18" s="201" t="n"/>
      <c r="F18" s="202" t="n"/>
      <c r="G18" s="201" t="n"/>
      <c r="H18" s="202" t="n"/>
      <c r="I18" s="201" t="n"/>
      <c r="J18" s="202" t="n"/>
      <c r="K18" s="126" t="n"/>
      <c r="L18" s="204" t="n"/>
      <c r="M18" s="204" t="n"/>
      <c r="N18" s="128" t="n"/>
      <c r="O18" s="201" t="n"/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45" t="n"/>
      <c r="J19" s="46" t="n"/>
      <c r="K19" s="45" t="n"/>
      <c r="L19" s="47" t="n"/>
      <c r="M19" s="47" t="n"/>
      <c r="N19" s="46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N20" s="210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126" t="n"/>
      <c r="L21" s="204" t="n"/>
      <c r="M21" s="204" t="n"/>
      <c r="N21" s="128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 ht="15" customHeight="1">
      <c r="A32" s="1" t="n"/>
      <c r="C32" s="122" t="n"/>
      <c r="D32" s="122" t="n"/>
      <c r="E32" s="122" t="n"/>
      <c r="F32" s="122" t="n"/>
      <c r="G32" s="122" t="n"/>
      <c r="H32" s="122" t="n"/>
      <c r="I32" s="122" t="n"/>
      <c r="J32" s="122" t="n"/>
      <c r="K32" s="122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/>
      </c>
      <c r="F38" s="104">
        <f>COUNTIF($I$5:$N$21,"*Hard*")</f>
        <v/>
      </c>
      <c r="G38" s="104">
        <f>COUNTIF($O$5:$V$21,"*Hard*")</f>
        <v/>
      </c>
      <c r="H38" s="104">
        <f>COUNTIF($C$5:$D$21,"*Hard*")</f>
        <v/>
      </c>
      <c r="I38" s="104">
        <f>COUNTIF($W$5:$AD$21,"*Hard*")</f>
        <v/>
      </c>
    </row>
    <row r="39">
      <c r="D39" s="101" t="inlineStr">
        <is>
          <t>Oehm</t>
        </is>
      </c>
      <c r="E39" s="104">
        <f>COUNTIF($E$5:$H$21,"*Oehm*")</f>
        <v/>
      </c>
      <c r="F39" s="104">
        <f>COUNTIF($I$5:$N$21,"*Oehm*")</f>
        <v/>
      </c>
      <c r="G39" s="104">
        <f>COUNTIF($O$5:$V$21,"*Oehm*")</f>
        <v/>
      </c>
      <c r="H39" s="104">
        <f>COUNTIF($C$5:$D$21,"*Oehm*")</f>
        <v/>
      </c>
      <c r="I39" s="104">
        <f>COUNTIF($W$5:$AD$21,"*Oehm*")</f>
        <v/>
      </c>
    </row>
    <row r="40">
      <c r="D40" s="101" t="inlineStr">
        <is>
          <t>Schutt</t>
        </is>
      </c>
      <c r="E40" s="104">
        <f>COUNTIF($E$5:$H$21,"*Schutt*")</f>
        <v/>
      </c>
      <c r="F40" s="104">
        <f>COUNTIF($I$5:$N$21,"*Schutt*")</f>
        <v/>
      </c>
      <c r="G40" s="104">
        <f>COUNTIF($O$5:$V$21,"*Schutt*")</f>
        <v/>
      </c>
      <c r="H40" s="104">
        <f>COUNTIF($C$5:$D$21,"*Schutt*")</f>
        <v/>
      </c>
      <c r="I40" s="104">
        <f>COUNTIF($W$5:$AD$21,"*Schutt*")</f>
        <v/>
      </c>
    </row>
    <row r="41">
      <c r="D41" s="101" t="inlineStr">
        <is>
          <t>Stanek</t>
        </is>
      </c>
      <c r="E41" s="104">
        <f>COUNTIF($E$5:$H$21,"*Stanek*")</f>
        <v/>
      </c>
      <c r="F41" s="104">
        <f>COUNTIF($I$5:$N$21,"*Stanek*")</f>
        <v/>
      </c>
      <c r="G41" s="104">
        <f>COUNTIF($O$5:$V$21,"*Stanek*")</f>
        <v/>
      </c>
      <c r="H41" s="104">
        <f>COUNTIF($C$5:$D$21,"*Stanek*")</f>
        <v/>
      </c>
      <c r="I41" s="104">
        <f>COUNTIF($W$5:$AD$21,"*Stanek*")</f>
        <v/>
      </c>
    </row>
    <row r="42">
      <c r="D42" s="101" t="inlineStr">
        <is>
          <t>Strand</t>
        </is>
      </c>
      <c r="E42" s="104">
        <f>COUNTIF($E$5:$H$21,"*Strand*")</f>
        <v/>
      </c>
      <c r="F42" s="104">
        <f>COUNTIF($I$5:$N$21,"*Strand*")</f>
        <v/>
      </c>
      <c r="G42" s="104">
        <f>COUNTIF($O$5:$V$21,"*Strand*")</f>
        <v/>
      </c>
      <c r="H42" s="104">
        <f>COUNTIF($C$5:$D$21,"*Strand*")</f>
        <v/>
      </c>
      <c r="I42" s="104">
        <f>COUNTIF($W$5:$AD$21,"*Strand*")</f>
        <v/>
      </c>
    </row>
    <row r="43">
      <c r="D43" s="101" t="inlineStr">
        <is>
          <t>Wohlgemuth</t>
        </is>
      </c>
      <c r="E43" s="104">
        <f>COUNTIF($E$5:$H$21,"*Wohlgemuth*")</f>
        <v/>
      </c>
      <c r="F43" s="104">
        <f>COUNTIF($I$5:$N$21,"*Wohlgemuth*")</f>
        <v/>
      </c>
      <c r="G43" s="104">
        <f>COUNTIF($O$5:$V$21,"*Wohlgemuth*")</f>
        <v/>
      </c>
      <c r="H43" s="104">
        <f>COUNTIF($C$5:$D$21,"*Wohlgemuth*")</f>
        <v/>
      </c>
      <c r="I43" s="104">
        <f>COUNTIF($W$5:$AD$21,"*Wohlgemuth*")</f>
        <v/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/>
      </c>
      <c r="F45" s="106">
        <f>COUNTIF($I$5:$N$21,"*Beutel*")</f>
        <v/>
      </c>
      <c r="G45" s="106">
        <f>COUNTIF($O$5:$V$21,"*Beutel*")</f>
        <v/>
      </c>
      <c r="H45" s="106">
        <f>COUNTIF($C$5:$D$21,"*Beutel*")</f>
        <v/>
      </c>
      <c r="I45" s="106">
        <f>COUNTIF($W$5:$AD$21,"*Beutel*")</f>
        <v/>
      </c>
    </row>
    <row r="46">
      <c r="D46" s="102" t="inlineStr">
        <is>
          <t>Bottke</t>
        </is>
      </c>
      <c r="E46" s="106">
        <f>COUNTIF($E$5:$H$21,"*Bottke*")</f>
        <v/>
      </c>
      <c r="F46" s="106">
        <f>COUNTIF($I$5:$N$21,"*Bottke*")</f>
        <v/>
      </c>
      <c r="G46" s="106">
        <f>COUNTIF($O$5:$V$21,"*Bottke*")</f>
        <v/>
      </c>
      <c r="H46" s="106">
        <f>COUNTIF($C$5:$D$21,"*Bottke*")</f>
        <v/>
      </c>
      <c r="I46" s="106">
        <f>COUNTIF($W$5:$AD$21,"*Bottke*")</f>
        <v/>
      </c>
    </row>
    <row r="47">
      <c r="D47" s="102" t="inlineStr">
        <is>
          <t>Bower</t>
        </is>
      </c>
      <c r="E47" s="106">
        <f>COUNTIF($E$5:$H$21,"*Bower*")</f>
        <v/>
      </c>
      <c r="F47" s="106">
        <f>COUNTIF($I$5:$N$21,"*Bower*")</f>
        <v/>
      </c>
      <c r="G47" s="106">
        <f>COUNTIF($O$5:$V$21,"*Bower*")</f>
        <v/>
      </c>
      <c r="H47" s="106">
        <f>COUNTIF($C$5:$D$21,"*Bower*")</f>
        <v/>
      </c>
      <c r="I47" s="106">
        <f>COUNTIF($W$5:$AD$21,"*Bower*")</f>
        <v/>
      </c>
    </row>
    <row r="48">
      <c r="D48" s="102" t="inlineStr">
        <is>
          <t>Gaspar</t>
        </is>
      </c>
      <c r="E48" s="106">
        <f>COUNTIF($E$5:$H$21,"*Gaspar*")</f>
        <v/>
      </c>
      <c r="F48" s="106">
        <f>COUNTIF($I$5:$N$21,"*Gaspar*")</f>
        <v/>
      </c>
      <c r="G48" s="106">
        <f>COUNTIF($O$5:$V$21,"*Gaspar*")</f>
        <v/>
      </c>
      <c r="H48" s="106">
        <f>COUNTIF($C$5:$D$21,"*Gaspar*")</f>
        <v/>
      </c>
      <c r="I48" s="106">
        <f>COUNTIF($W$5:$AD$21,"*Gaspar*")</f>
        <v/>
      </c>
    </row>
    <row r="49">
      <c r="D49" s="102" t="inlineStr">
        <is>
          <t>Kendrick</t>
        </is>
      </c>
      <c r="E49" s="106">
        <f>COUNTIF($E$5:$H$21,"*Kendrick*")</f>
        <v/>
      </c>
      <c r="F49" s="106">
        <f>COUNTIF($I$5:$N$21,"*Kendrick*")</f>
        <v/>
      </c>
      <c r="G49" s="106">
        <f>COUNTIF($O$5:$V$21,"*Kendrick*")</f>
        <v/>
      </c>
      <c r="H49" s="106">
        <f>COUNTIF($C$5:$D$21,"*Kendrick*")</f>
        <v/>
      </c>
      <c r="I49" s="106">
        <f>COUNTIF($W$5:$AD$21,"*Kendrick*")</f>
        <v/>
      </c>
    </row>
    <row r="50">
      <c r="D50" s="102" t="inlineStr">
        <is>
          <t>Patel</t>
        </is>
      </c>
      <c r="E50" s="106">
        <f>COUNTIF($E$5:$H$21,"*Patel*")</f>
        <v/>
      </c>
      <c r="F50" s="106">
        <f>COUNTIF($I$5:$N$21,"*Patel*")</f>
        <v/>
      </c>
      <c r="G50" s="106">
        <f>COUNTIF($O$5:$V$21,"*Patel*")</f>
        <v/>
      </c>
      <c r="H50" s="106">
        <f>COUNTIF($C$5:$D$21,"*Patel*")</f>
        <v/>
      </c>
      <c r="I50" s="106">
        <f>COUNTIF($W$5:$AD$21,"*Patel*")</f>
        <v/>
      </c>
    </row>
    <row r="51">
      <c r="D51" s="102" t="inlineStr">
        <is>
          <t>Sublette</t>
        </is>
      </c>
      <c r="E51" s="106">
        <f>COUNTIF($E$5:$H$21,"*Sublette*")</f>
        <v/>
      </c>
      <c r="F51" s="106">
        <f>COUNTIF($I$5:$N$21,"*Sublette*")</f>
        <v/>
      </c>
      <c r="G51" s="106">
        <f>COUNTIF($O$5:$V$21,"*Sublette*")</f>
        <v/>
      </c>
      <c r="H51" s="106">
        <f>COUNTIF($C$5:$D$21,"*Sublette*")</f>
        <v/>
      </c>
      <c r="I51" s="106">
        <f>COUNTIF($W$5:$AD$21,"*Sublette*")</f>
        <v/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/>
      </c>
      <c r="F53" s="107">
        <f>COUNTIF($I$5:$N$21,"*Johnson*")</f>
        <v/>
      </c>
      <c r="G53" s="107">
        <f>COUNTIF($O$5:$V$21,"*Johnson*")</f>
        <v/>
      </c>
      <c r="H53" s="107">
        <f>COUNTIF($C$5:$D$21,"*Johnson*")</f>
        <v/>
      </c>
      <c r="I53" s="107">
        <f>COUNTIF($W$5:$AD$21,"*Johnson*")</f>
        <v/>
      </c>
    </row>
    <row r="54">
      <c r="D54" s="103" t="inlineStr">
        <is>
          <t>Lux</t>
        </is>
      </c>
      <c r="E54" s="107">
        <f>COUNTIF($E$5:$H$21,"*Lux*")</f>
        <v/>
      </c>
      <c r="F54" s="107">
        <f>COUNTIF($I$5:$N$21,"*Lux*")</f>
        <v/>
      </c>
      <c r="G54" s="107">
        <f>COUNTIF($O$5:$V$21,"*Lux*")</f>
        <v/>
      </c>
      <c r="H54" s="107">
        <f>COUNTIF($C$5:$D$21,"*Lux*")</f>
        <v/>
      </c>
      <c r="I54" s="107">
        <f>COUNTIF($W$5:$AD$21,"*Lux*")</f>
        <v/>
      </c>
    </row>
    <row r="55">
      <c r="D55" s="103" t="inlineStr">
        <is>
          <t>Mautino</t>
        </is>
      </c>
      <c r="E55" s="107">
        <f>COUNTIF($E$5:$H$21,"*Mautino*")</f>
        <v/>
      </c>
      <c r="F55" s="107">
        <f>COUNTIF($I$5:$N$21,"*Mautino*")</f>
        <v/>
      </c>
      <c r="G55" s="107">
        <f>COUNTIF($O$5:$V$21,"*Mautino*")</f>
        <v/>
      </c>
      <c r="H55" s="107">
        <f>COUNTIF($C$5:$D$21,"*Mautino*")</f>
        <v/>
      </c>
      <c r="I55" s="107">
        <f>COUNTIF($W$5:$AD$21,"*Mautino*")</f>
        <v/>
      </c>
    </row>
    <row r="56">
      <c r="D56" s="103" t="inlineStr">
        <is>
          <t>Mudondo</t>
        </is>
      </c>
      <c r="E56" s="107">
        <f>COUNTIF($E$5:$H$21,"*Mudondo*")</f>
        <v/>
      </c>
      <c r="F56" s="107">
        <f>COUNTIF($I$5:$N$21,"*Mudondo*")</f>
        <v/>
      </c>
      <c r="G56" s="107">
        <f>COUNTIF($O$5:$V$21,"*Mudondo*")</f>
        <v/>
      </c>
      <c r="H56" s="107">
        <f>COUNTIF($C$5:$D$21,"*Mudondo*")</f>
        <v/>
      </c>
      <c r="I56" s="107">
        <f>COUNTIF($W$5:$AD$21,"*Mudondo*")</f>
        <v/>
      </c>
    </row>
    <row r="57">
      <c r="E57" s="95">
        <f>SUM(E38:E56)</f>
        <v/>
      </c>
      <c r="F57" s="95">
        <f>SUM(F38:F56)</f>
        <v/>
      </c>
      <c r="G57" s="95">
        <f>SUM(G38:G56)</f>
        <v/>
      </c>
      <c r="H57" s="95">
        <f>SUM(H38:H56)</f>
        <v/>
      </c>
      <c r="I57" s="95">
        <f>SUM(I38:I56)</f>
        <v/>
      </c>
    </row>
  </sheetData>
  <mergeCells count="113">
    <mergeCell ref="G21:H21"/>
    <mergeCell ref="C6:D6"/>
    <mergeCell ref="C15:D15"/>
    <mergeCell ref="E8:F8"/>
    <mergeCell ref="O9:V9"/>
    <mergeCell ref="C27:K27"/>
    <mergeCell ref="W20:AD20"/>
    <mergeCell ref="O5:V5"/>
    <mergeCell ref="K17:M17"/>
    <mergeCell ref="G18:H18"/>
    <mergeCell ref="I18:J18"/>
    <mergeCell ref="W12:AD12"/>
    <mergeCell ref="C25:K26"/>
    <mergeCell ref="O12:V12"/>
    <mergeCell ref="W9:AD9"/>
    <mergeCell ref="AG5:AG6"/>
    <mergeCell ref="G20:H20"/>
    <mergeCell ref="I20:J20"/>
    <mergeCell ref="K5:M5"/>
    <mergeCell ref="O14:V14"/>
    <mergeCell ref="K20:M20"/>
    <mergeCell ref="K11:M11"/>
    <mergeCell ref="E12:F12"/>
    <mergeCell ref="O7:V7"/>
    <mergeCell ref="W4:AD4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K8:M8"/>
    <mergeCell ref="E4:F4"/>
    <mergeCell ref="G7:H7"/>
    <mergeCell ref="C7:D8"/>
    <mergeCell ref="I7:J7"/>
    <mergeCell ref="K14:M14"/>
    <mergeCell ref="K15:N15"/>
    <mergeCell ref="K7:M7"/>
    <mergeCell ref="K4:M4"/>
    <mergeCell ref="AG8:AG9"/>
    <mergeCell ref="K18:M18"/>
    <mergeCell ref="I8:J8"/>
    <mergeCell ref="I17:J17"/>
    <mergeCell ref="O17:V17"/>
    <mergeCell ref="O11:V11"/>
    <mergeCell ref="C10:D11"/>
    <mergeCell ref="C16:D17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K21:M21"/>
    <mergeCell ref="G8:H8"/>
    <mergeCell ref="E17:F17"/>
    <mergeCell ref="X25:AD25"/>
    <mergeCell ref="G17:H17"/>
    <mergeCell ref="AG11:AG12"/>
    <mergeCell ref="W5:AD5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O21:V21"/>
    <mergeCell ref="G5:H5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C2:AD2" showDropDown="0" showInputMessage="1" showErrorMessage="1" allowBlank="1" prompt="To change the calendar year, go to cell P8 in About sheet"/>
    <dataValidation sqref="C5:D5" showDropDown="0" showInputMessage="1" showErrorMessage="1" allowBlank="1" prompt="Calendar days are automatically updated"/>
    <dataValidation sqref="C4:D4" showDropDown="0" showInputMessage="1" showErrorMessage="1" allowBlank="1" prompt="To change the starting day of the week, go to cell P12 in About sheet"/>
    <dataValidation sqref="C6:D6" showDropDown="0" showInputMessage="1" showErrorMessage="1" allowBlank="1" prompt="Enter daily notes below the calendar days, such as this cell"/>
    <dataValidation sqref="C25:K26" showDropDown="0" showInputMessage="1" showErrorMessage="1" allowBlank="1" prompt="Enter monthly notes in cells C24 to K28"/>
    <dataValidation sqref="O25:U25" showDropDown="0" showInputMessage="1" showErrorMessage="1" allowBlank="1" prompt="Previous month calendar"/>
    <dataValidation sqref="X25:AD25" showDropDown="0" showInputMessage="1" showErrorMessage="1" allowBlank="1" prompt="Next month calendar"/>
  </dataValidations>
  <printOptions horizontalCentered="1"/>
  <pageMargins left="0.5" right="0.5" top="0.25" bottom="0.25" header="0.25" footer="0.25"/>
  <pageSetup orientation="landscape" scale="88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tabSelected="1" workbookViewId="0">
      <selection activeCell="B9" sqref="B9"/>
    </sheetView>
  </sheetViews>
  <sheetFormatPr baseColWidth="8" defaultRowHeight="12.75"/>
  <cols>
    <col width="43.7109375" customWidth="1" min="1" max="1"/>
    <col width="101.140625" customWidth="1" min="2" max="2"/>
    <col width="64.140625" customWidth="1" min="4" max="4"/>
  </cols>
  <sheetData>
    <row r="1">
      <c r="A1" s="235" t="inlineStr">
        <is>
          <t>Rotation Rules</t>
        </is>
      </c>
      <c r="B1" s="236" t="n"/>
    </row>
    <row r="2">
      <c r="A2" s="79" t="inlineStr">
        <is>
          <t>Away</t>
        </is>
      </c>
      <c r="B2" s="80" t="inlineStr">
        <is>
          <t>No call shifts</t>
        </is>
      </c>
    </row>
    <row r="3">
      <c r="A3" s="81" t="inlineStr">
        <is>
          <t>Community Based Practice</t>
        </is>
      </c>
      <c r="B3" s="80" t="inlineStr">
        <is>
          <t>No call duties the two weeks they are away (can be done if absolutely necessary)</t>
        </is>
      </c>
      <c r="D3" s="191" t="inlineStr">
        <is>
          <t xml:space="preserve">Rules for interns/R1 in the first half of the year: </t>
        </is>
      </c>
    </row>
    <row r="4">
      <c r="A4" s="81" t="inlineStr">
        <is>
          <t>Peds ED (Emergency Med)</t>
        </is>
      </c>
      <c r="B4" s="80" t="inlineStr">
        <is>
          <t>No call shifts</t>
        </is>
      </c>
      <c r="D4" t="inlineStr">
        <is>
          <t>Ambulatory intern alternates Saturday call with MedA/Inpatient Medicine intern of their assigned months</t>
        </is>
      </c>
    </row>
    <row r="5">
      <c r="A5" s="81" t="inlineStr">
        <is>
          <t>Peds IP (Inpatient)</t>
        </is>
      </c>
      <c r="B5" s="80" t="inlineStr">
        <is>
          <t>No call shifts</t>
        </is>
      </c>
      <c r="D5" t="inlineStr">
        <is>
          <t>Surgery intern works all 4 Sundays of assigned month</t>
        </is>
      </c>
    </row>
    <row r="6">
      <c r="A6" s="81" t="inlineStr">
        <is>
          <t>Med A</t>
        </is>
      </c>
      <c r="B6" s="80" t="inlineStr">
        <is>
          <t>(See column D)</t>
        </is>
      </c>
    </row>
    <row r="7">
      <c r="A7" s="81" t="inlineStr">
        <is>
          <t>OB (Obstetrics)</t>
        </is>
      </c>
      <c r="B7" s="80" t="inlineStr">
        <is>
          <t>(See column D)</t>
        </is>
      </c>
    </row>
    <row r="8">
      <c r="A8" s="81" t="inlineStr">
        <is>
          <t>GYN/CM (Gynecology/Community Medicine)</t>
        </is>
      </c>
      <c r="B8" s="80" t="inlineStr">
        <is>
          <t>Don't put on call Sunday, Monday or Wednesday so they can cover LC &amp; GYN</t>
        </is>
      </c>
      <c r="D8" s="191" t="inlineStr">
        <is>
          <t xml:space="preserve">Rules for interns/R1 in the first half of the year: </t>
        </is>
      </c>
    </row>
    <row r="9">
      <c r="A9" s="81" t="inlineStr">
        <is>
          <t>NICU</t>
        </is>
      </c>
      <c r="B9" s="80" t="inlineStr">
        <is>
          <t>No call shifts</t>
        </is>
      </c>
      <c r="D9" t="inlineStr">
        <is>
          <t>MedA/Inpatient Medicine intern - every Wednesday, 2nd and 4th Saturday of assigned month</t>
        </is>
      </c>
    </row>
    <row r="10">
      <c r="A10" s="81" t="inlineStr">
        <is>
          <t>R3 - Orthopedics</t>
        </is>
      </c>
      <c r="B10" s="80" t="inlineStr">
        <is>
          <t>Limited call shifts</t>
        </is>
      </c>
      <c r="D10" t="inlineStr">
        <is>
          <t>OB intern - every Friday, 2nd and 4th Monday of assigned month</t>
        </is>
      </c>
    </row>
    <row r="11">
      <c r="A11" s="81" t="inlineStr">
        <is>
          <t>R2 - Pediatrics</t>
        </is>
      </c>
      <c r="B11" s="80" t="inlineStr">
        <is>
          <t>Don't put on call Thursday night so they can do peds clinic on Friday AM at East DSM</t>
        </is>
      </c>
      <c r="D11" t="inlineStr">
        <is>
          <t>Ambulatory intern - every Tuesday, 1st and 3rd Saturday of assigned month</t>
        </is>
      </c>
    </row>
    <row r="12">
      <c r="A12" s="81" t="inlineStr">
        <is>
          <t>Dermatology</t>
        </is>
      </c>
      <c r="B12" s="80" t="inlineStr">
        <is>
          <t>Don't put on call Monday for Derm clinic Tuesday's or second Wednesday of rotation - with Abrahamson on 2nd Thursday</t>
        </is>
      </c>
    </row>
    <row r="13">
      <c r="A13" s="81" t="inlineStr">
        <is>
          <t>Ultrasound</t>
        </is>
      </c>
      <c r="B13" s="80" t="inlineStr">
        <is>
          <t>On rotations only on Monday's &amp; Thursday's - avoid call on Sundays and Wednesdays</t>
        </is>
      </c>
      <c r="D13" t="inlineStr">
        <is>
          <t>Try to mix up interns/R1 on July 4th, Labor Dday, Easter and Memorial Day</t>
        </is>
      </c>
    </row>
    <row r="14">
      <c r="A14" s="81" t="inlineStr">
        <is>
          <t>FM Ambulatory</t>
        </is>
      </c>
      <c r="B14" s="80" t="inlineStr">
        <is>
          <t>2nd half of the year, don't put on call Sunday, Monday or Wednesday so they can cover LC &amp; GYN</t>
        </is>
      </c>
    </row>
    <row r="15">
      <c r="A15" s="184" t="n"/>
      <c r="B15" s="237" t="n"/>
    </row>
    <row r="16">
      <c r="A16" s="235" t="inlineStr">
        <is>
          <t>Holiday Rules</t>
        </is>
      </c>
      <c r="B16" s="236" t="n"/>
    </row>
    <row r="17">
      <c r="A17" s="238" t="inlineStr">
        <is>
          <t>All seniors work one major holiday or two minor holidays</t>
        </is>
      </c>
      <c r="B17" s="236" t="n"/>
      <c r="D17" t="inlineStr">
        <is>
          <t>MedA/Inpatient Medicine senior - 1st and 3rd Saturday of assigned month</t>
        </is>
      </c>
    </row>
    <row r="18">
      <c r="A18" s="238" t="inlineStr">
        <is>
          <t>Interns schedule Thanksgiving, Christmas, and New Years</t>
        </is>
      </c>
      <c r="B18" s="236" t="n"/>
      <c r="D18" t="inlineStr">
        <is>
          <t>OB senior - all 4 Fridays, 1st and 3rd Tuesday of assigned month</t>
        </is>
      </c>
    </row>
    <row r="19">
      <c r="A19" s="238" t="inlineStr">
        <is>
          <t>Interns - other holidays based on luck of the draw of their rotation</t>
        </is>
      </c>
      <c r="B19" s="236" t="n"/>
      <c r="D19" t="inlineStr">
        <is>
          <t>Gynecology/Community Medicine senior - 2/4 Sat, 1/3 Thurs</t>
        </is>
      </c>
    </row>
    <row r="20">
      <c r="A20" s="238" t="inlineStr">
        <is>
          <t>Try not to schedule anyone on their birthdays</t>
        </is>
      </c>
      <c r="B20" s="236" t="n"/>
    </row>
    <row r="21">
      <c r="A21" s="238" t="inlineStr">
        <is>
          <t>Try to give Mother's and Father's day off to applicable parents</t>
        </is>
      </c>
      <c r="B21" s="236" t="n"/>
      <c r="D21" t="inlineStr">
        <is>
          <t>Cardiology - No call shifts on Tues nights. This is because they are assigned to personal clinic all day Wednesday.</t>
        </is>
      </c>
    </row>
    <row r="22">
      <c r="A22" s="184" t="n"/>
      <c r="B22" s="237" t="n"/>
    </row>
    <row r="23">
      <c r="A23" s="235" t="inlineStr">
        <is>
          <t>Days Rules</t>
        </is>
      </c>
      <c r="B23" s="236" t="n"/>
    </row>
    <row r="24">
      <c r="A24" s="239" t="inlineStr">
        <is>
          <t>Days of call should be equal amongst residents. Certain days are semi-equivelant. Some are more convenient - see below.</t>
        </is>
      </c>
      <c r="B24" s="236" t="n"/>
      <c r="D24" t="inlineStr">
        <is>
          <t>LC = La Clinica</t>
        </is>
      </c>
    </row>
    <row r="25" ht="15" customHeight="1">
      <c r="A25" s="188" t="inlineStr">
        <is>
          <t>Wednesday and Thursday (BEST days for call)</t>
        </is>
      </c>
      <c r="B25" s="189" t="n"/>
    </row>
    <row r="26" ht="15" customHeight="1">
      <c r="A26" s="240" t="inlineStr">
        <is>
          <t>Monday and Tuesday (AVERAGE days for call)</t>
        </is>
      </c>
      <c r="B26" s="236" t="n"/>
    </row>
    <row r="27" ht="15" customHeight="1">
      <c r="A27" s="240" t="inlineStr">
        <is>
          <t>Friday and Sunday (BAD days for call)</t>
        </is>
      </c>
      <c r="B27" s="236" t="n"/>
    </row>
    <row r="28" ht="15" customHeight="1">
      <c r="A28" s="240" t="inlineStr">
        <is>
          <t>Saturday (WORST days for call)</t>
        </is>
      </c>
      <c r="B28" s="236" t="n"/>
    </row>
    <row r="29">
      <c r="A29" s="235" t="inlineStr">
        <is>
          <t>Coverage Rules</t>
        </is>
      </c>
      <c r="B29" s="236" t="n"/>
    </row>
    <row r="30">
      <c r="A30" s="81" t="inlineStr">
        <is>
          <t>Intern (R1)</t>
        </is>
      </c>
      <c r="B30" s="81" t="inlineStr">
        <is>
          <t>First six months</t>
        </is>
      </c>
    </row>
    <row r="31">
      <c r="A31" s="81" t="n"/>
      <c r="B31" s="80" t="inlineStr">
        <is>
          <t xml:space="preserve">    Night float coverage M-F, excluding holiday coverage</t>
        </is>
      </c>
    </row>
    <row r="32">
      <c r="A32" s="81" t="n"/>
      <c r="B32" s="80" t="inlineStr">
        <is>
          <t xml:space="preserve">    24 hour call on weekends (and applicable holidays) with post call day</t>
        </is>
      </c>
    </row>
    <row r="33">
      <c r="A33" s="81" t="n"/>
      <c r="B33" s="81" t="inlineStr">
        <is>
          <t>Second six months</t>
        </is>
      </c>
    </row>
    <row r="34">
      <c r="A34" s="81" t="n"/>
      <c r="B34" s="80" t="inlineStr">
        <is>
          <t xml:space="preserve">    24 hour call with post call day</t>
        </is>
      </c>
    </row>
    <row r="35">
      <c r="A35" s="81" t="n"/>
      <c r="B35" s="80" t="inlineStr">
        <is>
          <t xml:space="preserve">    Should have around 60 call shifts total throughout the year (counting night float)</t>
        </is>
      </c>
    </row>
    <row r="36">
      <c r="A36" s="83" t="n"/>
      <c r="B36" s="82" t="n"/>
    </row>
    <row r="37">
      <c r="A37" s="83" t="inlineStr">
        <is>
          <t>Seniors (R2 and R3)</t>
        </is>
      </c>
      <c r="B37" s="82" t="inlineStr">
        <is>
          <t xml:space="preserve">    24 hour call with post call day</t>
        </is>
      </c>
    </row>
    <row r="38">
      <c r="A38" s="80" t="n"/>
      <c r="B38" s="80" t="inlineStr">
        <is>
          <t xml:space="preserve">    Should have around 30 call shifts total throughout the year</t>
        </is>
      </c>
    </row>
    <row r="39">
      <c r="A39" s="185" t="n"/>
      <c r="B39" s="241" t="n"/>
    </row>
  </sheetData>
  <mergeCells count="16">
    <mergeCell ref="A26:B26"/>
    <mergeCell ref="A20:B20"/>
    <mergeCell ref="A24:B24"/>
    <mergeCell ref="A21:B21"/>
    <mergeCell ref="A29:B29"/>
    <mergeCell ref="A15:B15"/>
    <mergeCell ref="A16:B16"/>
    <mergeCell ref="A22:B22"/>
    <mergeCell ref="A19:B19"/>
    <mergeCell ref="A28:B28"/>
    <mergeCell ref="A1:B1"/>
    <mergeCell ref="A23:B23"/>
    <mergeCell ref="A17:B17"/>
    <mergeCell ref="A27:B27"/>
    <mergeCell ref="A18:B18"/>
    <mergeCell ref="A39:B3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K10" sqref="K10"/>
    </sheetView>
  </sheetViews>
  <sheetFormatPr baseColWidth="8" defaultRowHeight="12.75"/>
  <cols>
    <col width="12.28515625" customWidth="1" min="1" max="1"/>
    <col width="72.42578125" customWidth="1" min="11" max="11"/>
  </cols>
  <sheetData>
    <row r="1" ht="15.75" customHeight="1">
      <c r="A1" s="190" t="inlineStr">
        <is>
          <t>Tracking Data</t>
        </is>
      </c>
      <c r="B1" s="242" t="n"/>
      <c r="C1" s="242" t="n"/>
      <c r="D1" s="242" t="n"/>
      <c r="E1" s="242" t="n"/>
      <c r="F1" s="242" t="n"/>
      <c r="G1" s="242" t="n"/>
      <c r="H1" s="242" t="n"/>
      <c r="K1" s="108" t="inlineStr">
        <is>
          <t>PTO Requests</t>
        </is>
      </c>
    </row>
    <row r="2" ht="15" customHeight="1">
      <c r="A2" s="143" t="inlineStr">
        <is>
          <t>Interns</t>
        </is>
      </c>
      <c r="B2" s="96" t="inlineStr">
        <is>
          <t>Hard</t>
        </is>
      </c>
      <c r="C2" s="91" t="inlineStr">
        <is>
          <t>Oehm</t>
        </is>
      </c>
      <c r="D2" s="89" t="inlineStr">
        <is>
          <t>Schutt</t>
        </is>
      </c>
      <c r="E2" s="89" t="inlineStr">
        <is>
          <t>Stanek</t>
        </is>
      </c>
      <c r="F2" s="89" t="inlineStr">
        <is>
          <t>Strand</t>
        </is>
      </c>
      <c r="G2" s="90" t="inlineStr">
        <is>
          <t>Wohlgemuth</t>
        </is>
      </c>
      <c r="H2" s="89" t="inlineStr">
        <is>
          <t>Total</t>
        </is>
      </c>
      <c r="K2" s="109" t="inlineStr">
        <is>
          <t>Wohlgemuth - 9/15-9/19, 5/17-5/21</t>
        </is>
      </c>
    </row>
    <row r="3" ht="15" customHeight="1">
      <c r="A3" s="205" t="n"/>
      <c r="B3" s="95">
        <f>SUM(July:June!AH6)</f>
        <v/>
      </c>
      <c r="C3" s="95">
        <f>SUM(July:June!AI6)</f>
        <v/>
      </c>
      <c r="D3" s="95">
        <f>SUM(July:June!AJ6)</f>
        <v/>
      </c>
      <c r="E3" s="95">
        <f>SUM(July:June!AK6)</f>
        <v/>
      </c>
      <c r="F3" s="95">
        <f>SUM(July:June!AL6)</f>
        <v/>
      </c>
      <c r="G3" s="95">
        <f>SUM(July:June!AM6)</f>
        <v/>
      </c>
      <c r="H3" s="95">
        <f>SUM(B3:G3)</f>
        <v/>
      </c>
      <c r="K3" s="109" t="inlineStr">
        <is>
          <t>Oehm - 5/15-5/21, 10/8-10/9</t>
        </is>
      </c>
    </row>
    <row r="4" ht="15" customHeight="1">
      <c r="A4" s="85" t="n"/>
      <c r="B4" s="86" t="n"/>
      <c r="C4" s="86" t="n"/>
      <c r="D4" s="86" t="n"/>
      <c r="E4" s="86" t="n"/>
      <c r="F4" s="86" t="n"/>
      <c r="G4" s="86" t="n"/>
      <c r="H4" s="86" t="n"/>
      <c r="I4" s="86" t="n"/>
      <c r="K4" s="109" t="inlineStr">
        <is>
          <t>Stanek - 3/18-3/21, 5/15 &amp; 5/16</t>
        </is>
      </c>
    </row>
    <row r="5" ht="15" customHeight="1">
      <c r="A5" s="143" t="inlineStr">
        <is>
          <t>2nd Years</t>
        </is>
      </c>
      <c r="B5" s="143" t="inlineStr">
        <is>
          <t>Beutel</t>
        </is>
      </c>
      <c r="C5" s="143" t="inlineStr">
        <is>
          <t>Bottke</t>
        </is>
      </c>
      <c r="D5" s="143" t="inlineStr">
        <is>
          <t>Bower</t>
        </is>
      </c>
      <c r="E5" s="143" t="inlineStr">
        <is>
          <t>Gaspar</t>
        </is>
      </c>
      <c r="F5" s="143" t="inlineStr">
        <is>
          <t>Kendrick</t>
        </is>
      </c>
      <c r="G5" s="143" t="inlineStr">
        <is>
          <t>Patel</t>
        </is>
      </c>
      <c r="H5" s="143" t="inlineStr">
        <is>
          <t>Sublette</t>
        </is>
      </c>
      <c r="I5" s="143" t="inlineStr">
        <is>
          <t>Total</t>
        </is>
      </c>
      <c r="K5" s="109" t="inlineStr">
        <is>
          <t>Schutt - 7/11-7/12, 3/15-3/19</t>
        </is>
      </c>
    </row>
    <row r="6" ht="15" customHeight="1">
      <c r="A6" s="205" t="n"/>
      <c r="B6" s="97">
        <f>SUM(July:June!AH9)</f>
        <v/>
      </c>
      <c r="C6" s="97">
        <f>SUM(July:June!AI9)</f>
        <v/>
      </c>
      <c r="D6" s="97">
        <f>SUM(July:June!AJ9)</f>
        <v/>
      </c>
      <c r="E6" s="97">
        <f>SUM(July:June!AK9)</f>
        <v/>
      </c>
      <c r="F6" s="97">
        <f>SUM(July:June!AL9)</f>
        <v/>
      </c>
      <c r="G6" s="97">
        <f>SUM(July:June!AM9)</f>
        <v/>
      </c>
      <c r="H6" s="97">
        <f>SUM(July:June!AN9)</f>
        <v/>
      </c>
      <c r="I6" s="95">
        <f>SUM(B6:H6)</f>
        <v/>
      </c>
      <c r="K6" s="98" t="inlineStr">
        <is>
          <t>Patel - 8/6-8/9, 1/28-2/1</t>
        </is>
      </c>
    </row>
    <row r="7" ht="15" customHeight="1">
      <c r="A7" s="85" t="n"/>
      <c r="B7" s="86" t="n"/>
      <c r="C7" s="86" t="n"/>
      <c r="D7" s="86" t="n"/>
      <c r="E7" s="86" t="n"/>
      <c r="F7" s="86" t="n"/>
      <c r="K7" s="98" t="inlineStr">
        <is>
          <t>Bottke &amp; Patel - Nexplanon training 9/10 evening, DO NOT schedule call 9/10</t>
        </is>
      </c>
    </row>
    <row r="8" ht="15" customHeight="1">
      <c r="A8" s="143" t="inlineStr">
        <is>
          <t>3rd Years</t>
        </is>
      </c>
      <c r="B8" s="143" t="inlineStr">
        <is>
          <t>Johnson</t>
        </is>
      </c>
      <c r="C8" s="143" t="inlineStr">
        <is>
          <t>Lux</t>
        </is>
      </c>
      <c r="D8" s="143" t="inlineStr">
        <is>
          <t>Mautino</t>
        </is>
      </c>
      <c r="E8" s="93" t="inlineStr">
        <is>
          <t>Mudondo</t>
        </is>
      </c>
      <c r="F8" s="143" t="inlineStr">
        <is>
          <t>Total</t>
        </is>
      </c>
      <c r="K8" s="98" t="inlineStr">
        <is>
          <t>Strand - 10/26-11/1</t>
        </is>
      </c>
    </row>
    <row r="9">
      <c r="A9" s="205" t="n"/>
      <c r="B9" s="94">
        <f>SUM(July:June!AH12)</f>
        <v/>
      </c>
      <c r="C9" s="94">
        <f>SUM(July:June!AI12)</f>
        <v/>
      </c>
      <c r="D9" s="94">
        <f>SUM(July:June!AJ12)</f>
        <v/>
      </c>
      <c r="E9" s="94">
        <f>SUM(July:June!AK12)</f>
        <v/>
      </c>
      <c r="F9" s="95">
        <f>SUM(B9:E9)</f>
        <v/>
      </c>
    </row>
    <row r="11" ht="15.75" customHeight="1">
      <c r="A11" s="108" t="inlineStr">
        <is>
          <t>Day of Weeks Tracking</t>
        </is>
      </c>
      <c r="B11" s="220" t="n"/>
      <c r="C11" s="220" t="n"/>
      <c r="D11" s="220" t="n"/>
      <c r="E11" s="220" t="n"/>
      <c r="F11" s="221" t="n"/>
    </row>
    <row r="12" ht="15" customHeight="1">
      <c r="A12" s="98" t="n"/>
      <c r="B12" s="147" t="inlineStr">
        <is>
          <t>M, T</t>
        </is>
      </c>
      <c r="C12" s="147" t="inlineStr">
        <is>
          <t>W, TH</t>
        </is>
      </c>
      <c r="D12" s="147" t="inlineStr">
        <is>
          <t>F &amp; Sun.</t>
        </is>
      </c>
      <c r="E12" s="221" t="n"/>
      <c r="F12" s="147" t="inlineStr">
        <is>
          <t>Sat.</t>
        </is>
      </c>
    </row>
    <row r="13">
      <c r="A13" s="101" t="inlineStr">
        <is>
          <t>Hard</t>
        </is>
      </c>
      <c r="B13" s="104">
        <f>SUM(July:June!E38)</f>
        <v/>
      </c>
      <c r="C13" s="104">
        <f>SUM(July:June!F38)</f>
        <v/>
      </c>
      <c r="D13" s="104">
        <f>SUM(July:June!G38)</f>
        <v/>
      </c>
      <c r="E13" s="104">
        <f>SUM(July:June!H38)</f>
        <v/>
      </c>
      <c r="F13" s="104">
        <f>SUM(July:June!I38)</f>
        <v/>
      </c>
    </row>
    <row r="14">
      <c r="A14" s="101" t="inlineStr">
        <is>
          <t>Oehm</t>
        </is>
      </c>
      <c r="B14" s="104">
        <f>SUM(July:June!E39)</f>
        <v/>
      </c>
      <c r="C14" s="104">
        <f>SUM(July:June!F39)</f>
        <v/>
      </c>
      <c r="D14" s="104">
        <f>SUM(July:June!G39)</f>
        <v/>
      </c>
      <c r="E14" s="104">
        <f>SUM(July:June!H39)</f>
        <v/>
      </c>
      <c r="F14" s="104">
        <f>SUM(July:June!I39)</f>
        <v/>
      </c>
    </row>
    <row r="15">
      <c r="A15" s="101" t="inlineStr">
        <is>
          <t>Schutt</t>
        </is>
      </c>
      <c r="B15" s="104">
        <f>SUM(July:June!E40)</f>
        <v/>
      </c>
      <c r="C15" s="104">
        <f>SUM(July:June!F40)</f>
        <v/>
      </c>
      <c r="D15" s="104">
        <f>SUM(July:June!G40)</f>
        <v/>
      </c>
      <c r="E15" s="104">
        <f>SUM(July:June!H40)</f>
        <v/>
      </c>
      <c r="F15" s="104">
        <f>SUM(July:June!I40)</f>
        <v/>
      </c>
    </row>
    <row r="16">
      <c r="A16" s="101" t="inlineStr">
        <is>
          <t>Stanek</t>
        </is>
      </c>
      <c r="B16" s="104">
        <f>SUM(July:June!E41)</f>
        <v/>
      </c>
      <c r="C16" s="104">
        <f>SUM(July:June!F41)</f>
        <v/>
      </c>
      <c r="D16" s="104">
        <f>SUM(July:June!G41)</f>
        <v/>
      </c>
      <c r="E16" s="104">
        <f>SUM(July:June!H41)</f>
        <v/>
      </c>
      <c r="F16" s="104">
        <f>SUM(July:June!I41)</f>
        <v/>
      </c>
    </row>
    <row r="17">
      <c r="A17" s="101" t="inlineStr">
        <is>
          <t>Strand</t>
        </is>
      </c>
      <c r="B17" s="104">
        <f>SUM(July:June!E42)</f>
        <v/>
      </c>
      <c r="C17" s="104">
        <f>SUM(July:June!F42)</f>
        <v/>
      </c>
      <c r="D17" s="104">
        <f>SUM(July:June!G42)</f>
        <v/>
      </c>
      <c r="E17" s="104">
        <f>SUM(July:June!H42)</f>
        <v/>
      </c>
      <c r="F17" s="104">
        <f>SUM(July:June!I42)</f>
        <v/>
      </c>
    </row>
    <row r="18">
      <c r="A18" s="101" t="inlineStr">
        <is>
          <t>Wohlgemuth</t>
        </is>
      </c>
      <c r="B18" s="104">
        <f>SUM(July:June!E43)</f>
        <v/>
      </c>
      <c r="C18" s="104">
        <f>SUM(July:June!F43)</f>
        <v/>
      </c>
      <c r="D18" s="104">
        <f>SUM(July:June!G43)</f>
        <v/>
      </c>
      <c r="E18" s="104">
        <f>SUM(July:June!H43)</f>
        <v/>
      </c>
      <c r="F18" s="104">
        <f>SUM(July:June!I43)</f>
        <v/>
      </c>
    </row>
    <row r="19" ht="7.15" customHeight="1">
      <c r="A19" s="100" t="n"/>
      <c r="B19" s="105" t="n"/>
      <c r="C19" s="105" t="n"/>
      <c r="D19" s="105" t="n"/>
      <c r="E19" s="105" t="n"/>
      <c r="F19" s="105" t="n"/>
    </row>
    <row r="20">
      <c r="A20" s="102" t="inlineStr">
        <is>
          <t>Beutel</t>
        </is>
      </c>
      <c r="B20" s="106">
        <f>SUM(July:June!E45)</f>
        <v/>
      </c>
      <c r="C20" s="106">
        <f>SUM(July:June!F45)</f>
        <v/>
      </c>
      <c r="D20" s="106">
        <f>SUM(July:June!G45)</f>
        <v/>
      </c>
      <c r="E20" s="106">
        <f>SUM(July:June!H45)</f>
        <v/>
      </c>
      <c r="F20" s="106">
        <f>SUM(July:June!I45)</f>
        <v/>
      </c>
    </row>
    <row r="21">
      <c r="A21" s="102" t="inlineStr">
        <is>
          <t>Bottke</t>
        </is>
      </c>
      <c r="B21" s="106">
        <f>SUM(July:June!E46)</f>
        <v/>
      </c>
      <c r="C21" s="106">
        <f>SUM(July:June!F46)</f>
        <v/>
      </c>
      <c r="D21" s="106">
        <f>SUM(July:June!G46)</f>
        <v/>
      </c>
      <c r="E21" s="106">
        <f>SUM(July:June!H46)</f>
        <v/>
      </c>
      <c r="F21" s="106">
        <f>SUM(July:June!I46)</f>
        <v/>
      </c>
    </row>
    <row r="22">
      <c r="A22" s="102" t="inlineStr">
        <is>
          <t>Bower</t>
        </is>
      </c>
      <c r="B22" s="106">
        <f>SUM(July:June!E47)</f>
        <v/>
      </c>
      <c r="C22" s="106">
        <f>SUM(July:June!F47)</f>
        <v/>
      </c>
      <c r="D22" s="106">
        <f>SUM(July:June!G47)</f>
        <v/>
      </c>
      <c r="E22" s="106">
        <f>SUM(July:June!H47)</f>
        <v/>
      </c>
      <c r="F22" s="106">
        <f>SUM(July:June!I47)</f>
        <v/>
      </c>
    </row>
    <row r="23">
      <c r="A23" s="102" t="inlineStr">
        <is>
          <t>Gaspar</t>
        </is>
      </c>
      <c r="B23" s="106">
        <f>SUM(July:June!E48)</f>
        <v/>
      </c>
      <c r="C23" s="106">
        <f>SUM(July:June!F48)</f>
        <v/>
      </c>
      <c r="D23" s="106">
        <f>SUM(July:June!G48)</f>
        <v/>
      </c>
      <c r="E23" s="106">
        <f>SUM(July:June!H48)</f>
        <v/>
      </c>
      <c r="F23" s="106">
        <f>SUM(July:June!I48)</f>
        <v/>
      </c>
    </row>
    <row r="24">
      <c r="A24" s="102" t="inlineStr">
        <is>
          <t>Kendrick</t>
        </is>
      </c>
      <c r="B24" s="106">
        <f>SUM(July:June!E49)</f>
        <v/>
      </c>
      <c r="C24" s="106">
        <f>SUM(July:June!F49)</f>
        <v/>
      </c>
      <c r="D24" s="106">
        <f>SUM(July:June!G49)</f>
        <v/>
      </c>
      <c r="E24" s="106">
        <f>SUM(July:June!H49)</f>
        <v/>
      </c>
      <c r="F24" s="106">
        <f>SUM(July:June!I49)</f>
        <v/>
      </c>
    </row>
    <row r="25">
      <c r="A25" s="102" t="inlineStr">
        <is>
          <t>Patel</t>
        </is>
      </c>
      <c r="B25" s="106">
        <f>SUM(July:June!E50)</f>
        <v/>
      </c>
      <c r="C25" s="106">
        <f>SUM(July:June!F50)</f>
        <v/>
      </c>
      <c r="D25" s="106">
        <f>SUM(July:June!G50)</f>
        <v/>
      </c>
      <c r="E25" s="106">
        <f>SUM(July:June!H50)</f>
        <v/>
      </c>
      <c r="F25" s="106">
        <f>SUM(July:June!I50)</f>
        <v/>
      </c>
    </row>
    <row r="26">
      <c r="A26" s="102" t="inlineStr">
        <is>
          <t>Sublette</t>
        </is>
      </c>
      <c r="B26" s="106">
        <f>SUM(July:June!E51)</f>
        <v/>
      </c>
      <c r="C26" s="106">
        <f>SUM(July:June!F51)</f>
        <v/>
      </c>
      <c r="D26" s="106">
        <f>SUM(July:June!G51)</f>
        <v/>
      </c>
      <c r="E26" s="106">
        <f>SUM(July:June!H51)</f>
        <v/>
      </c>
      <c r="F26" s="106">
        <f>SUM(July:June!I51)</f>
        <v/>
      </c>
    </row>
    <row r="27" ht="7.9" customHeight="1">
      <c r="A27" s="100" t="n"/>
      <c r="B27" s="105" t="n"/>
      <c r="C27" s="105" t="n"/>
      <c r="D27" s="105" t="n"/>
      <c r="E27" s="105" t="n"/>
      <c r="F27" s="105" t="n"/>
    </row>
    <row r="28">
      <c r="A28" s="103" t="inlineStr">
        <is>
          <t>Johnson</t>
        </is>
      </c>
      <c r="B28" s="107">
        <f>SUM(July:June!E53)</f>
        <v/>
      </c>
      <c r="C28" s="107">
        <f>SUM(July:June!F53)</f>
        <v/>
      </c>
      <c r="D28" s="107">
        <f>SUM(July:June!G53)</f>
        <v/>
      </c>
      <c r="E28" s="107">
        <f>SUM(July:June!H53)</f>
        <v/>
      </c>
      <c r="F28" s="107">
        <f>SUM(July:June!I53)</f>
        <v/>
      </c>
    </row>
    <row r="29">
      <c r="A29" s="103" t="inlineStr">
        <is>
          <t>Lux</t>
        </is>
      </c>
      <c r="B29" s="107">
        <f>SUM(July:June!E54)</f>
        <v/>
      </c>
      <c r="C29" s="107">
        <f>SUM(July:June!F54)</f>
        <v/>
      </c>
      <c r="D29" s="107">
        <f>SUM(July:June!G54)</f>
        <v/>
      </c>
      <c r="E29" s="107">
        <f>SUM(July:June!H54)</f>
        <v/>
      </c>
      <c r="F29" s="107">
        <f>SUM(July:June!I54)</f>
        <v/>
      </c>
    </row>
    <row r="30">
      <c r="A30" s="103" t="inlineStr">
        <is>
          <t>Mautino</t>
        </is>
      </c>
      <c r="B30" s="107">
        <f>SUM(July:June!E55)</f>
        <v/>
      </c>
      <c r="C30" s="107">
        <f>SUM(July:June!F55)</f>
        <v/>
      </c>
      <c r="D30" s="107">
        <f>SUM(July:June!G55)</f>
        <v/>
      </c>
      <c r="E30" s="107">
        <f>SUM(July:June!H55)</f>
        <v/>
      </c>
      <c r="F30" s="107">
        <f>SUM(July:June!I55)</f>
        <v/>
      </c>
    </row>
    <row r="31">
      <c r="A31" s="103" t="inlineStr">
        <is>
          <t>Mudondo</t>
        </is>
      </c>
      <c r="B31" s="107">
        <f>SUM(July:June!E56)</f>
        <v/>
      </c>
      <c r="C31" s="107">
        <f>SUM(July:June!F56)</f>
        <v/>
      </c>
      <c r="D31" s="107">
        <f>SUM(July:June!G56)</f>
        <v/>
      </c>
      <c r="E31" s="107">
        <f>SUM(July:June!H56)</f>
        <v/>
      </c>
      <c r="F31" s="107">
        <f>SUM(July:June!I56)</f>
        <v/>
      </c>
    </row>
    <row r="32">
      <c r="B32" s="95">
        <f>SUM(B13:B31)</f>
        <v/>
      </c>
      <c r="C32" s="95">
        <f>SUM(C13:C31)</f>
        <v/>
      </c>
      <c r="D32" s="95">
        <f>SUM(D13:D31)</f>
        <v/>
      </c>
      <c r="E32" s="95">
        <f>SUM(E13:E31)</f>
        <v/>
      </c>
      <c r="F32" s="95">
        <f>SUM(F13:F31)</f>
        <v/>
      </c>
    </row>
  </sheetData>
  <mergeCells count="6">
    <mergeCell ref="A5:A6"/>
    <mergeCell ref="A11:F11"/>
    <mergeCell ref="A8:A9"/>
    <mergeCell ref="A2:A3"/>
    <mergeCell ref="A1:H1"/>
    <mergeCell ref="D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2023-08-30T14:14:51Z</dcterms:created>
  <dcterms:modified xsi:type="dcterms:W3CDTF">2026-06-01T05:16:21Z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0x0101005630092753890540A1EB7C3BFA24FEC6</vt:lpwstr>
  </property>
  <property name="MediaServiceImageTags" fmtid="{D5CDD505-2E9C-101B-9397-08002B2CF9AE}" pid="3">
    <vt:lpwstr/>
  </property>
</Properties>
</file>